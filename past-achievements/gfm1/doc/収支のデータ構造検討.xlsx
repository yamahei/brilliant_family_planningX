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fault.MYCOMPUTER\Desktop\brilliant_family_planning\doc\"/>
    </mc:Choice>
  </mc:AlternateContent>
  <xr:revisionPtr revIDLastSave="0" documentId="13_ncr:1_{762662BC-1ACD-42D4-9DF0-402BF4ABEBE2}" xr6:coauthVersionLast="47" xr6:coauthVersionMax="47" xr10:uidLastSave="{00000000-0000-0000-0000-000000000000}"/>
  <bookViews>
    <workbookView xWindow="-120" yWindow="-120" windowWidth="29040" windowHeight="15720" activeTab="5" xr2:uid="{21EF5FBA-AD26-46E6-B5F2-ED167B5AB201}"/>
  </bookViews>
  <sheets>
    <sheet name="arguments" sheetId="1" r:id="rId1"/>
    <sheet name="variables" sheetId="2" r:id="rId2"/>
    <sheet name="variables_bk" sheetId="5" r:id="rId3"/>
    <sheet name="runner" sheetId="3" r:id="rId4"/>
    <sheet name="endpoint" sheetId="4" r:id="rId5"/>
    <sheet name="test" sheetId="6" r:id="rId6"/>
  </sheets>
  <definedNames>
    <definedName name="_xlnm._FilterDatabase" localSheetId="1" hidden="1">variables!$A$3:$AA$28</definedName>
    <definedName name="_xlnm._FilterDatabase" localSheetId="2" hidden="1">variables_bk!$A$3:$W$28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6" l="1"/>
  <c r="E4" i="6"/>
  <c r="F4" i="6"/>
  <c r="G4" i="6"/>
  <c r="G5" i="6" s="1"/>
  <c r="G6" i="6" s="1"/>
  <c r="G7" i="6" s="1"/>
  <c r="G8" i="6" s="1"/>
  <c r="G9" i="6" s="1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H4" i="6"/>
  <c r="I4" i="6"/>
  <c r="J4" i="6"/>
  <c r="K4" i="6"/>
  <c r="L4" i="6"/>
  <c r="M4" i="6"/>
  <c r="N4" i="6"/>
  <c r="O4" i="6"/>
  <c r="D5" i="6"/>
  <c r="E5" i="6"/>
  <c r="F5" i="6"/>
  <c r="H5" i="6"/>
  <c r="I5" i="6"/>
  <c r="J5" i="6"/>
  <c r="K5" i="6"/>
  <c r="L5" i="6"/>
  <c r="M5" i="6"/>
  <c r="N5" i="6"/>
  <c r="O5" i="6"/>
  <c r="D6" i="6"/>
  <c r="E6" i="6"/>
  <c r="F6" i="6"/>
  <c r="H6" i="6"/>
  <c r="I6" i="6"/>
  <c r="J6" i="6"/>
  <c r="K6" i="6"/>
  <c r="L6" i="6"/>
  <c r="M6" i="6"/>
  <c r="N6" i="6"/>
  <c r="O6" i="6"/>
  <c r="D7" i="6"/>
  <c r="E7" i="6"/>
  <c r="F7" i="6"/>
  <c r="H7" i="6"/>
  <c r="I7" i="6"/>
  <c r="J7" i="6"/>
  <c r="K7" i="6"/>
  <c r="L7" i="6"/>
  <c r="M7" i="6"/>
  <c r="N7" i="6"/>
  <c r="O7" i="6"/>
  <c r="D8" i="6"/>
  <c r="E8" i="6"/>
  <c r="F8" i="6"/>
  <c r="H8" i="6"/>
  <c r="I8" i="6"/>
  <c r="J8" i="6"/>
  <c r="K8" i="6"/>
  <c r="L8" i="6"/>
  <c r="M8" i="6"/>
  <c r="N8" i="6"/>
  <c r="O8" i="6"/>
  <c r="O9" i="6" s="1"/>
  <c r="O10" i="6" s="1"/>
  <c r="O11" i="6" s="1"/>
  <c r="O12" i="6" s="1"/>
  <c r="O13" i="6" s="1"/>
  <c r="O14" i="6" s="1"/>
  <c r="O15" i="6" s="1"/>
  <c r="O16" i="6" s="1"/>
  <c r="O17" i="6" s="1"/>
  <c r="O18" i="6" s="1"/>
  <c r="O19" i="6" s="1"/>
  <c r="O20" i="6" s="1"/>
  <c r="O21" i="6" s="1"/>
  <c r="O22" i="6" s="1"/>
  <c r="O23" i="6" s="1"/>
  <c r="O24" i="6" s="1"/>
  <c r="O25" i="6" s="1"/>
  <c r="D9" i="6"/>
  <c r="E9" i="6"/>
  <c r="F9" i="6"/>
  <c r="H9" i="6"/>
  <c r="I9" i="6"/>
  <c r="J9" i="6"/>
  <c r="K9" i="6"/>
  <c r="K10" i="6" s="1"/>
  <c r="K11" i="6" s="1"/>
  <c r="K12" i="6" s="1"/>
  <c r="K13" i="6" s="1"/>
  <c r="K14" i="6" s="1"/>
  <c r="K15" i="6" s="1"/>
  <c r="K16" i="6" s="1"/>
  <c r="K17" i="6" s="1"/>
  <c r="K18" i="6" s="1"/>
  <c r="K19" i="6" s="1"/>
  <c r="K20" i="6" s="1"/>
  <c r="K21" i="6" s="1"/>
  <c r="K22" i="6" s="1"/>
  <c r="K23" i="6" s="1"/>
  <c r="K24" i="6" s="1"/>
  <c r="K25" i="6" s="1"/>
  <c r="L9" i="6"/>
  <c r="M9" i="6"/>
  <c r="N9" i="6"/>
  <c r="D10" i="6"/>
  <c r="E10" i="6"/>
  <c r="F10" i="6"/>
  <c r="H10" i="6"/>
  <c r="I10" i="6"/>
  <c r="J10" i="6"/>
  <c r="L10" i="6"/>
  <c r="M10" i="6"/>
  <c r="N10" i="6"/>
  <c r="D11" i="6"/>
  <c r="E11" i="6"/>
  <c r="F11" i="6"/>
  <c r="H11" i="6"/>
  <c r="I11" i="6"/>
  <c r="J11" i="6"/>
  <c r="L11" i="6"/>
  <c r="M11" i="6"/>
  <c r="N11" i="6"/>
  <c r="D12" i="6"/>
  <c r="E12" i="6"/>
  <c r="F12" i="6"/>
  <c r="H12" i="6"/>
  <c r="I12" i="6"/>
  <c r="J12" i="6"/>
  <c r="L12" i="6"/>
  <c r="M12" i="6"/>
  <c r="N12" i="6"/>
  <c r="D13" i="6"/>
  <c r="E13" i="6"/>
  <c r="F13" i="6"/>
  <c r="H13" i="6"/>
  <c r="I13" i="6"/>
  <c r="J13" i="6"/>
  <c r="L13" i="6"/>
  <c r="M13" i="6"/>
  <c r="N13" i="6"/>
  <c r="D14" i="6"/>
  <c r="E14" i="6"/>
  <c r="F14" i="6"/>
  <c r="H14" i="6"/>
  <c r="I14" i="6"/>
  <c r="J14" i="6"/>
  <c r="L14" i="6"/>
  <c r="M14" i="6"/>
  <c r="N14" i="6"/>
  <c r="D15" i="6"/>
  <c r="E15" i="6"/>
  <c r="F15" i="6"/>
  <c r="H15" i="6"/>
  <c r="I15" i="6"/>
  <c r="J15" i="6"/>
  <c r="L15" i="6"/>
  <c r="M15" i="6"/>
  <c r="N15" i="6"/>
  <c r="D16" i="6"/>
  <c r="E16" i="6"/>
  <c r="F16" i="6"/>
  <c r="H16" i="6"/>
  <c r="I16" i="6"/>
  <c r="J16" i="6"/>
  <c r="L16" i="6"/>
  <c r="M16" i="6"/>
  <c r="N16" i="6"/>
  <c r="D17" i="6"/>
  <c r="E17" i="6"/>
  <c r="F17" i="6"/>
  <c r="H17" i="6"/>
  <c r="I17" i="6"/>
  <c r="J17" i="6"/>
  <c r="L17" i="6"/>
  <c r="M17" i="6"/>
  <c r="N17" i="6"/>
  <c r="D18" i="6"/>
  <c r="E18" i="6"/>
  <c r="F18" i="6"/>
  <c r="H18" i="6"/>
  <c r="I18" i="6"/>
  <c r="J18" i="6"/>
  <c r="L18" i="6"/>
  <c r="M18" i="6"/>
  <c r="N18" i="6"/>
  <c r="D19" i="6"/>
  <c r="E19" i="6"/>
  <c r="F19" i="6"/>
  <c r="H19" i="6"/>
  <c r="I19" i="6"/>
  <c r="J19" i="6"/>
  <c r="L19" i="6"/>
  <c r="M19" i="6"/>
  <c r="N19" i="6"/>
  <c r="D20" i="6"/>
  <c r="E20" i="6"/>
  <c r="F20" i="6"/>
  <c r="H20" i="6"/>
  <c r="I20" i="6"/>
  <c r="J20" i="6"/>
  <c r="L20" i="6"/>
  <c r="M20" i="6"/>
  <c r="N20" i="6"/>
  <c r="D21" i="6"/>
  <c r="E21" i="6"/>
  <c r="F21" i="6"/>
  <c r="H21" i="6"/>
  <c r="I21" i="6"/>
  <c r="J21" i="6"/>
  <c r="L21" i="6"/>
  <c r="M21" i="6"/>
  <c r="N21" i="6"/>
  <c r="D22" i="6"/>
  <c r="E22" i="6"/>
  <c r="F22" i="6"/>
  <c r="H22" i="6"/>
  <c r="I22" i="6"/>
  <c r="J22" i="6"/>
  <c r="L22" i="6"/>
  <c r="M22" i="6"/>
  <c r="N22" i="6"/>
  <c r="D23" i="6"/>
  <c r="E23" i="6"/>
  <c r="F23" i="6"/>
  <c r="H23" i="6"/>
  <c r="I23" i="6"/>
  <c r="J23" i="6"/>
  <c r="L23" i="6"/>
  <c r="M23" i="6"/>
  <c r="N23" i="6"/>
  <c r="D24" i="6"/>
  <c r="E24" i="6"/>
  <c r="F24" i="6"/>
  <c r="H24" i="6"/>
  <c r="I24" i="6"/>
  <c r="J24" i="6"/>
  <c r="L24" i="6"/>
  <c r="M24" i="6"/>
  <c r="N24" i="6"/>
  <c r="D25" i="6"/>
  <c r="E25" i="6"/>
  <c r="F25" i="6"/>
  <c r="H25" i="6"/>
  <c r="I25" i="6"/>
  <c r="J25" i="6"/>
  <c r="L25" i="6"/>
  <c r="M25" i="6"/>
  <c r="N25" i="6"/>
  <c r="E3" i="6"/>
  <c r="F3" i="6"/>
  <c r="G3" i="6"/>
  <c r="H3" i="6"/>
  <c r="I3" i="6"/>
  <c r="J3" i="6"/>
  <c r="K3" i="6"/>
  <c r="L3" i="6"/>
  <c r="M3" i="6"/>
  <c r="N3" i="6"/>
  <c r="O3" i="6"/>
  <c r="D3" i="6"/>
  <c r="F2" i="6"/>
  <c r="G2" i="6" s="1"/>
  <c r="H2" i="6" s="1"/>
  <c r="I2" i="6" s="1"/>
  <c r="J2" i="6" s="1"/>
  <c r="K2" i="6" s="1"/>
  <c r="L2" i="6" s="1"/>
  <c r="M2" i="6" s="1"/>
  <c r="N2" i="6" s="1"/>
  <c r="O2" i="6" s="1"/>
  <c r="E2" i="6"/>
  <c r="F56" i="2"/>
  <c r="J56" i="2"/>
  <c r="J62" i="2"/>
  <c r="F62" i="2"/>
  <c r="J52" i="5"/>
  <c r="F52" i="5"/>
  <c r="J51" i="5"/>
  <c r="F51" i="5"/>
  <c r="J50" i="5"/>
  <c r="F50" i="5"/>
  <c r="J49" i="5"/>
  <c r="G49" i="5"/>
  <c r="F49" i="5"/>
  <c r="J48" i="5"/>
  <c r="F48" i="5"/>
  <c r="J47" i="5"/>
  <c r="G47" i="5"/>
  <c r="F47" i="5"/>
  <c r="J41" i="5"/>
  <c r="F41" i="5"/>
  <c r="J40" i="5"/>
  <c r="F40" i="5"/>
  <c r="J39" i="5"/>
  <c r="G39" i="5"/>
  <c r="F39" i="5"/>
  <c r="J38" i="5"/>
  <c r="G38" i="5"/>
  <c r="F38" i="5"/>
  <c r="J37" i="5"/>
  <c r="G37" i="5"/>
  <c r="F37" i="5"/>
  <c r="J36" i="5"/>
  <c r="F36" i="5"/>
  <c r="J35" i="5"/>
  <c r="F35" i="5"/>
  <c r="J34" i="5"/>
  <c r="G34" i="5"/>
  <c r="F34" i="5"/>
  <c r="J33" i="5"/>
  <c r="G33" i="5"/>
  <c r="F33" i="5"/>
  <c r="J32" i="5"/>
  <c r="G32" i="5"/>
  <c r="F32" i="5"/>
  <c r="J31" i="5"/>
  <c r="F31" i="5"/>
  <c r="J30" i="5"/>
  <c r="F30" i="5"/>
  <c r="J29" i="5"/>
  <c r="G29" i="5"/>
  <c r="F29" i="5"/>
  <c r="J28" i="5"/>
  <c r="F28" i="5"/>
  <c r="J27" i="5"/>
  <c r="G27" i="5"/>
  <c r="F27" i="5"/>
  <c r="J26" i="5"/>
  <c r="F26" i="5"/>
  <c r="J25" i="5"/>
  <c r="F25" i="5"/>
  <c r="J24" i="5"/>
  <c r="G24" i="5"/>
  <c r="F24" i="5"/>
  <c r="J23" i="5"/>
  <c r="G23" i="5"/>
  <c r="F23" i="5"/>
  <c r="J22" i="5"/>
  <c r="G22" i="5"/>
  <c r="F22" i="5"/>
  <c r="J21" i="5"/>
  <c r="F21" i="5"/>
  <c r="J20" i="5"/>
  <c r="G20" i="5"/>
  <c r="F20" i="5"/>
  <c r="J19" i="5"/>
  <c r="F19" i="5"/>
  <c r="J18" i="5"/>
  <c r="G18" i="5"/>
  <c r="F18" i="5"/>
  <c r="J17" i="5"/>
  <c r="F17" i="5"/>
  <c r="J18" i="2"/>
  <c r="J61" i="2"/>
  <c r="J60" i="2"/>
  <c r="J59" i="2"/>
  <c r="J58" i="2"/>
  <c r="J57" i="2"/>
  <c r="J17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G37" i="2"/>
  <c r="G22" i="2"/>
  <c r="G20" i="2"/>
  <c r="G59" i="2"/>
  <c r="G57" i="2"/>
  <c r="G39" i="2"/>
  <c r="G38" i="2"/>
  <c r="G34" i="2"/>
  <c r="G33" i="2"/>
  <c r="G32" i="2"/>
  <c r="G29" i="2"/>
  <c r="G27" i="2"/>
  <c r="G24" i="2"/>
  <c r="G23" i="2"/>
  <c r="G18" i="2"/>
  <c r="F61" i="2"/>
  <c r="F60" i="2"/>
  <c r="F59" i="2"/>
  <c r="F58" i="2"/>
  <c r="F57" i="2"/>
  <c r="F41" i="2"/>
  <c r="F40" i="2"/>
  <c r="F39" i="2"/>
  <c r="F38" i="2"/>
  <c r="F36" i="2"/>
  <c r="F35" i="2"/>
  <c r="F34" i="2"/>
  <c r="F33" i="2"/>
  <c r="F31" i="2"/>
  <c r="F30" i="2"/>
  <c r="F29" i="2"/>
  <c r="F28" i="2"/>
  <c r="F26" i="2"/>
  <c r="F25" i="2"/>
  <c r="F24" i="2"/>
  <c r="F23" i="2"/>
  <c r="F21" i="2"/>
  <c r="F20" i="2"/>
  <c r="F19" i="2"/>
  <c r="F18" i="2"/>
  <c r="F37" i="2"/>
  <c r="F32" i="2"/>
  <c r="F27" i="2"/>
  <c r="F22" i="2"/>
  <c r="F17" i="2"/>
</calcChain>
</file>

<file path=xl/sharedStrings.xml><?xml version="1.0" encoding="utf-8"?>
<sst xmlns="http://schemas.openxmlformats.org/spreadsheetml/2006/main" count="953" uniqueCount="363">
  <si>
    <t>グループ</t>
    <phoneticPr fontId="2"/>
  </si>
  <si>
    <r>
      <t>🚙</t>
    </r>
    <r>
      <rPr>
        <sz val="11"/>
        <color theme="1"/>
        <rFont val="ＭＳ Ｐゴシック"/>
        <family val="2"/>
        <charset val="128"/>
      </rPr>
      <t>デミオ</t>
    </r>
    <phoneticPr fontId="2"/>
  </si>
  <si>
    <t>自</t>
    <rPh sb="0" eb="1">
      <t>ジ</t>
    </rPh>
    <phoneticPr fontId="2"/>
  </si>
  <si>
    <t>至</t>
    <rPh sb="0" eb="1">
      <t>イタ</t>
    </rPh>
    <phoneticPr fontId="2"/>
  </si>
  <si>
    <t>タイミング</t>
    <phoneticPr fontId="2"/>
  </si>
  <si>
    <t>点検</t>
    <rPh sb="0" eb="2">
      <t>テンケン</t>
    </rPh>
    <phoneticPr fontId="2"/>
  </si>
  <si>
    <t>燃料費</t>
    <rPh sb="0" eb="3">
      <t>ネンリョウヒ</t>
    </rPh>
    <phoneticPr fontId="2"/>
  </si>
  <si>
    <t>毎月</t>
    <rPh sb="0" eb="2">
      <t>マイツキ</t>
    </rPh>
    <phoneticPr fontId="2"/>
  </si>
  <si>
    <t>任意保険</t>
    <rPh sb="0" eb="4">
      <t>ニンイホケン</t>
    </rPh>
    <phoneticPr fontId="2"/>
  </si>
  <si>
    <t>収支</t>
    <rPh sb="0" eb="2">
      <t>シュウシ</t>
    </rPh>
    <phoneticPr fontId="2"/>
  </si>
  <si>
    <r>
      <rPr>
        <sz val="11"/>
        <color theme="1"/>
        <rFont val="Segoe UI Symbol"/>
        <family val="2"/>
      </rPr>
      <t>🏍</t>
    </r>
    <r>
      <rPr>
        <sz val="11"/>
        <color theme="1"/>
        <rFont val="游ゴシック"/>
        <family val="2"/>
        <charset val="128"/>
        <scheme val="minor"/>
      </rPr>
      <t>GSX</t>
    </r>
    <phoneticPr fontId="2"/>
  </si>
  <si>
    <t>車検</t>
    <rPh sb="0" eb="2">
      <t>シャケン</t>
    </rPh>
    <phoneticPr fontId="2"/>
  </si>
  <si>
    <t>ローン（ボーナス）</t>
    <phoneticPr fontId="2"/>
  </si>
  <si>
    <t>ローン（月々）</t>
    <rPh sb="4" eb="6">
      <t>ツキヅキ</t>
    </rPh>
    <phoneticPr fontId="2"/>
  </si>
  <si>
    <t>年2回：${現在月} isin [${最終車検月}, ${最終車検月}+6, ${最終車検月}-6]</t>
    <rPh sb="0" eb="1">
      <t>ネン</t>
    </rPh>
    <rPh sb="2" eb="3">
      <t>カイ</t>
    </rPh>
    <rPh sb="6" eb="9">
      <t>ゲンザイツキ</t>
    </rPh>
    <phoneticPr fontId="2"/>
  </si>
  <si>
    <t>毎年：${現在月} == ${最終車検月}</t>
    <rPh sb="0" eb="2">
      <t>マイトシ</t>
    </rPh>
    <rPh sb="5" eb="7">
      <t>ゲンザイ</t>
    </rPh>
    <rPh sb="7" eb="8">
      <t>ツキ</t>
    </rPh>
    <phoneticPr fontId="2"/>
  </si>
  <si>
    <t>毎月：true</t>
    <rPh sb="0" eb="2">
      <t>マイツキ</t>
    </rPh>
    <phoneticPr fontId="2"/>
  </si>
  <si>
    <t>2年に1回：${最終車検年月} &lt;= ${現在年月} &amp;&amp; (${現在年} - ${最終車検年}) % 2 == 0 &amp;&amp; ${現在月} == ${最終車検月})</t>
    <rPh sb="1" eb="2">
      <t>ネン</t>
    </rPh>
    <rPh sb="4" eb="5">
      <t>カイ</t>
    </rPh>
    <rPh sb="21" eb="25">
      <t>ゲンザイネンゲツ</t>
    </rPh>
    <rPh sb="66" eb="67">
      <t>ツキ</t>
    </rPh>
    <rPh sb="78" eb="79">
      <t>ツキ</t>
    </rPh>
    <phoneticPr fontId="2"/>
  </si>
  <si>
    <r>
      <rPr>
        <sz val="11"/>
        <color theme="1"/>
        <rFont val="Segoe UI Symbol"/>
        <family val="2"/>
      </rPr>
      <t>👧</t>
    </r>
    <r>
      <rPr>
        <sz val="11"/>
        <color theme="1"/>
        <rFont val="游ゴシック"/>
        <family val="2"/>
        <charset val="128"/>
        <scheme val="minor"/>
      </rPr>
      <t>長女</t>
    </r>
    <rPh sb="2" eb="4">
      <t>チョウジョ</t>
    </rPh>
    <phoneticPr fontId="2"/>
  </si>
  <si>
    <t>YM</t>
    <phoneticPr fontId="2"/>
  </si>
  <si>
    <t>幼稚園</t>
    <rPh sb="0" eb="3">
      <t>ヨウチエン</t>
    </rPh>
    <phoneticPr fontId="2"/>
  </si>
  <si>
    <t>保育園</t>
    <rPh sb="0" eb="3">
      <t>ホイクエン</t>
    </rPh>
    <phoneticPr fontId="2"/>
  </si>
  <si>
    <t>bool</t>
    <phoneticPr fontId="2"/>
  </si>
  <si>
    <t>number</t>
    <phoneticPr fontId="2"/>
  </si>
  <si>
    <t>高校浪人年数</t>
    <rPh sb="0" eb="2">
      <t>コウコウ</t>
    </rPh>
    <rPh sb="2" eb="4">
      <t>ロウニン</t>
    </rPh>
    <rPh sb="4" eb="6">
      <t>ネンスウ</t>
    </rPh>
    <phoneticPr fontId="2"/>
  </si>
  <si>
    <t>大学浪人年数</t>
    <rPh sb="0" eb="2">
      <t>ダイガク</t>
    </rPh>
    <rPh sb="2" eb="4">
      <t>ロウニン</t>
    </rPh>
    <rPh sb="4" eb="6">
      <t>ネンスウ</t>
    </rPh>
    <phoneticPr fontId="2"/>
  </si>
  <si>
    <t>高校進学</t>
    <rPh sb="0" eb="4">
      <t>コウコウシンガク</t>
    </rPh>
    <phoneticPr fontId="2"/>
  </si>
  <si>
    <t>大学進学</t>
    <rPh sb="0" eb="2">
      <t>ダイガク</t>
    </rPh>
    <rPh sb="2" eb="4">
      <t>シンガク</t>
    </rPh>
    <phoneticPr fontId="2"/>
  </si>
  <si>
    <t>専門進学</t>
    <rPh sb="0" eb="2">
      <t>センモン</t>
    </rPh>
    <rPh sb="2" eb="4">
      <t>シンガク</t>
    </rPh>
    <phoneticPr fontId="2"/>
  </si>
  <si>
    <t>専門年数</t>
    <rPh sb="2" eb="4">
      <t>ネンスウ</t>
    </rPh>
    <phoneticPr fontId="2"/>
  </si>
  <si>
    <t>何年保育</t>
    <rPh sb="0" eb="4">
      <t>ナンネンホイク</t>
    </rPh>
    <phoneticPr fontId="2"/>
  </si>
  <si>
    <t>高校留年数</t>
    <rPh sb="0" eb="2">
      <t>コウコウ</t>
    </rPh>
    <rPh sb="2" eb="4">
      <t>リュウネン</t>
    </rPh>
    <rPh sb="4" eb="5">
      <t>スウ</t>
    </rPh>
    <phoneticPr fontId="2"/>
  </si>
  <si>
    <t>大学留年数</t>
    <rPh sb="0" eb="2">
      <t>ダイガク</t>
    </rPh>
    <rPh sb="2" eb="4">
      <t>リュウネン</t>
    </rPh>
    <rPh sb="4" eb="5">
      <t>スウ</t>
    </rPh>
    <phoneticPr fontId="2"/>
  </si>
  <si>
    <t>誕生日（幼年）</t>
    <rPh sb="0" eb="3">
      <t>タンジョウビ</t>
    </rPh>
    <rPh sb="4" eb="6">
      <t>ヨウネン</t>
    </rPh>
    <phoneticPr fontId="2"/>
  </si>
  <si>
    <t>誕生日（小学校）</t>
    <rPh sb="0" eb="3">
      <t>タンジョウビ</t>
    </rPh>
    <rPh sb="4" eb="7">
      <t>ショウガッコウ</t>
    </rPh>
    <phoneticPr fontId="2"/>
  </si>
  <si>
    <t>誕生日（中学校）</t>
    <rPh sb="0" eb="3">
      <t>タンジョウビ</t>
    </rPh>
    <rPh sb="4" eb="7">
      <t>チュウガッコウ</t>
    </rPh>
    <phoneticPr fontId="2"/>
  </si>
  <si>
    <t>誕生日（高校）</t>
    <rPh sb="0" eb="3">
      <t>タンジョウビ</t>
    </rPh>
    <rPh sb="4" eb="6">
      <t>コウコウ</t>
    </rPh>
    <phoneticPr fontId="2"/>
  </si>
  <si>
    <t>誕生日（大学）</t>
    <rPh sb="0" eb="3">
      <t>タンジョウビ</t>
    </rPh>
    <rPh sb="4" eb="6">
      <t>ダイガク</t>
    </rPh>
    <phoneticPr fontId="2"/>
  </si>
  <si>
    <t>入園金</t>
    <rPh sb="0" eb="3">
      <t>ニュウエンキン</t>
    </rPh>
    <phoneticPr fontId="2"/>
  </si>
  <si>
    <t>学費</t>
    <rPh sb="0" eb="2">
      <t>ガクヒ</t>
    </rPh>
    <phoneticPr fontId="2"/>
  </si>
  <si>
    <t>進級</t>
    <rPh sb="0" eb="2">
      <t>シンキュウ</t>
    </rPh>
    <phoneticPr fontId="2"/>
  </si>
  <si>
    <t>入学金</t>
    <rPh sb="0" eb="3">
      <t>ニュウガクキン</t>
    </rPh>
    <phoneticPr fontId="2"/>
  </si>
  <si>
    <t>県外高校</t>
    <rPh sb="0" eb="2">
      <t>ケンガイ</t>
    </rPh>
    <rPh sb="2" eb="4">
      <t>コウコウ</t>
    </rPh>
    <phoneticPr fontId="2"/>
  </si>
  <si>
    <t>県外専門</t>
    <rPh sb="0" eb="2">
      <t>ケンガイ</t>
    </rPh>
    <rPh sb="2" eb="4">
      <t>センモン</t>
    </rPh>
    <phoneticPr fontId="2"/>
  </si>
  <si>
    <t>県外大学</t>
    <rPh sb="0" eb="2">
      <t>ケンガイ</t>
    </rPh>
    <rPh sb="2" eb="4">
      <t>ダイガク</t>
    </rPh>
    <phoneticPr fontId="2"/>
  </si>
  <si>
    <t>仕送り</t>
    <rPh sb="0" eb="2">
      <t>シオク</t>
    </rPh>
    <phoneticPr fontId="2"/>
  </si>
  <si>
    <t>最終車検年/月</t>
    <rPh sb="0" eb="4">
      <t>サイシュウシャケン</t>
    </rPh>
    <rPh sb="4" eb="5">
      <t>ドシ</t>
    </rPh>
    <rPh sb="6" eb="7">
      <t>ツキ</t>
    </rPh>
    <phoneticPr fontId="2"/>
  </si>
  <si>
    <t>誕生年/月</t>
    <rPh sb="0" eb="2">
      <t>タンジョウ</t>
    </rPh>
    <rPh sb="2" eb="3">
      <t>ドシ</t>
    </rPh>
    <rPh sb="4" eb="5">
      <t>ツキ</t>
    </rPh>
    <phoneticPr fontId="2"/>
  </si>
  <si>
    <t>幼稚園入園年/月</t>
    <rPh sb="0" eb="3">
      <t>ヨウチエン</t>
    </rPh>
    <rPh sb="3" eb="5">
      <t>ニュウエン</t>
    </rPh>
    <phoneticPr fontId="2"/>
  </si>
  <si>
    <t>幼稚園卒園年/月</t>
    <rPh sb="0" eb="3">
      <t>ヨウチエン</t>
    </rPh>
    <rPh sb="3" eb="5">
      <t>ソツエン</t>
    </rPh>
    <phoneticPr fontId="2"/>
  </si>
  <si>
    <t>保育園入園年/月</t>
    <rPh sb="0" eb="3">
      <t>ホイクエン</t>
    </rPh>
    <rPh sb="3" eb="5">
      <t>ニュウエン</t>
    </rPh>
    <phoneticPr fontId="2"/>
  </si>
  <si>
    <t>保育園卒園年/月</t>
    <rPh sb="0" eb="3">
      <t>ホイクエン</t>
    </rPh>
    <rPh sb="3" eb="5">
      <t>ソツエン</t>
    </rPh>
    <phoneticPr fontId="2"/>
  </si>
  <si>
    <t>小学校入学年/月</t>
    <rPh sb="0" eb="5">
      <t>ショウガッコウニュウガク</t>
    </rPh>
    <phoneticPr fontId="2"/>
  </si>
  <si>
    <t>小学校卒業年/月</t>
    <rPh sb="0" eb="3">
      <t>ショウガッコウ</t>
    </rPh>
    <rPh sb="3" eb="5">
      <t>ソツギョウ</t>
    </rPh>
    <phoneticPr fontId="2"/>
  </si>
  <si>
    <t>中学校入学年/月</t>
    <rPh sb="0" eb="3">
      <t>チュウガッコウ</t>
    </rPh>
    <rPh sb="3" eb="5">
      <t>ニュウガク</t>
    </rPh>
    <phoneticPr fontId="2"/>
  </si>
  <si>
    <t>中学校卒業年/月</t>
    <rPh sb="0" eb="3">
      <t>チュウガッコウ</t>
    </rPh>
    <rPh sb="3" eb="5">
      <t>ソツギョウ</t>
    </rPh>
    <phoneticPr fontId="2"/>
  </si>
  <si>
    <t>高校校入学年/月</t>
    <rPh sb="0" eb="2">
      <t>コウコウ</t>
    </rPh>
    <rPh sb="2" eb="3">
      <t>コウ</t>
    </rPh>
    <rPh sb="3" eb="5">
      <t>ニュウガク</t>
    </rPh>
    <phoneticPr fontId="2"/>
  </si>
  <si>
    <t>高校校卒業年/月</t>
    <rPh sb="0" eb="2">
      <t>コウコウ</t>
    </rPh>
    <rPh sb="2" eb="3">
      <t>コウ</t>
    </rPh>
    <rPh sb="3" eb="5">
      <t>ソツギョウ</t>
    </rPh>
    <phoneticPr fontId="2"/>
  </si>
  <si>
    <t>専門校入学年/月</t>
    <rPh sb="2" eb="3">
      <t>コウ</t>
    </rPh>
    <rPh sb="3" eb="5">
      <t>ニュウガク</t>
    </rPh>
    <phoneticPr fontId="2"/>
  </si>
  <si>
    <t>専門校卒業年/月</t>
    <rPh sb="2" eb="3">
      <t>コウ</t>
    </rPh>
    <rPh sb="3" eb="5">
      <t>ソツギョウ</t>
    </rPh>
    <phoneticPr fontId="2"/>
  </si>
  <si>
    <t>大学校入学年/月</t>
    <rPh sb="2" eb="3">
      <t>コウ</t>
    </rPh>
    <rPh sb="3" eb="5">
      <t>ニュウガク</t>
    </rPh>
    <phoneticPr fontId="2"/>
  </si>
  <si>
    <t>大学校卒業年/月</t>
    <rPh sb="2" eb="3">
      <t>コウ</t>
    </rPh>
    <rPh sb="3" eb="5">
      <t>ソツギョウ</t>
    </rPh>
    <phoneticPr fontId="2"/>
  </si>
  <si>
    <t>毎年：${現在月} == ${誕生月}</t>
    <rPh sb="0" eb="2">
      <t>マイトシ</t>
    </rPh>
    <rPh sb="15" eb="17">
      <t>タンジョウ</t>
    </rPh>
    <rPh sb="17" eb="18">
      <t>ツキ</t>
    </rPh>
    <phoneticPr fontId="2"/>
  </si>
  <si>
    <t>年2回/車検時なし：&amp;{ローン（ボーナス）} &amp;&amp; !&amp;{車検}</t>
    <rPh sb="0" eb="1">
      <t>ネン</t>
    </rPh>
    <rPh sb="2" eb="3">
      <t>カイ</t>
    </rPh>
    <rPh sb="4" eb="7">
      <t>シャケンジ</t>
    </rPh>
    <phoneticPr fontId="2"/>
  </si>
  <si>
    <t>毎年：&amp;{誕生日（幼年）}</t>
    <phoneticPr fontId="2"/>
  </si>
  <si>
    <t>購入年/月</t>
    <rPh sb="0" eb="2">
      <t>コウニュウ</t>
    </rPh>
    <rPh sb="2" eb="3">
      <t>ドシ</t>
    </rPh>
    <rPh sb="4" eb="5">
      <t>ツキ</t>
    </rPh>
    <phoneticPr fontId="2"/>
  </si>
  <si>
    <t>1回：${現在年月} == ${購入年月}</t>
    <rPh sb="1" eb="2">
      <t>カイ</t>
    </rPh>
    <rPh sb="5" eb="9">
      <t>ゲンザイネンゲツ</t>
    </rPh>
    <rPh sb="16" eb="20">
      <t>コウニュウネンゲツ</t>
    </rPh>
    <phoneticPr fontId="2"/>
  </si>
  <si>
    <t>1回：${現在年月} == ${幼稚園入園年月}</t>
    <rPh sb="1" eb="2">
      <t>カイ</t>
    </rPh>
    <phoneticPr fontId="2"/>
  </si>
  <si>
    <t>1回：${現在年月} == ${小学校入学年月}</t>
    <rPh sb="1" eb="2">
      <t>カイ</t>
    </rPh>
    <phoneticPr fontId="2"/>
  </si>
  <si>
    <t>1回：${現在年月} == ${中学校入学年月}</t>
    <rPh sb="1" eb="2">
      <t>カイ</t>
    </rPh>
    <phoneticPr fontId="2"/>
  </si>
  <si>
    <t>1回：${現在年月} == ${高校校入学年月}</t>
    <rPh sb="1" eb="2">
      <t>カイ</t>
    </rPh>
    <phoneticPr fontId="2"/>
  </si>
  <si>
    <t>1回：${現在年月} == ${専門校入学年月}</t>
    <rPh sb="1" eb="2">
      <t>カイ</t>
    </rPh>
    <phoneticPr fontId="2"/>
  </si>
  <si>
    <t>1回：${現在年月} == ${大学校入学年月}</t>
    <rPh sb="1" eb="2">
      <t>カイ</t>
    </rPh>
    <phoneticPr fontId="2"/>
  </si>
  <si>
    <t>毎月：${幼稚園入園年月} &lt;= ${現在年月} &amp;&amp; ${現在年月} &lt;= ${幼稚園卒園年月}</t>
    <rPh sb="0" eb="2">
      <t>マイツキ</t>
    </rPh>
    <rPh sb="46" eb="48">
      <t>ネンゲツ</t>
    </rPh>
    <phoneticPr fontId="2"/>
  </si>
  <si>
    <t>毎年：${幼稚園入園年} &lt; ${現在年} &amp;&amp; ${現在年} &lt;= ${幼稚園卒園年} &amp;&amp; ${現在年} == ${幼稚園入園月}</t>
    <rPh sb="0" eb="2">
      <t>マイトシ</t>
    </rPh>
    <rPh sb="42" eb="43">
      <t>ドシ</t>
    </rPh>
    <rPh sb="65" eb="66">
      <t>ツキ</t>
    </rPh>
    <phoneticPr fontId="2"/>
  </si>
  <si>
    <t>1回：${現在年月} == ${保育園入園年月}</t>
    <rPh sb="1" eb="2">
      <t>カイ</t>
    </rPh>
    <phoneticPr fontId="2"/>
  </si>
  <si>
    <t>毎月：${保育園入園年月} &lt;= ${現在年月} &amp;&amp; ${現在年月} &lt;= ${保育園卒園年月}</t>
    <rPh sb="0" eb="2">
      <t>マイツキ</t>
    </rPh>
    <rPh sb="46" eb="48">
      <t>ネンゲツ</t>
    </rPh>
    <phoneticPr fontId="2"/>
  </si>
  <si>
    <t>毎年：${保育園入園年} &lt; ${現在年} &amp;&amp; ${現在年} &lt;= ${保育園卒園年} &amp;&amp; ${現在年} == ${保育園入園月}</t>
    <rPh sb="0" eb="2">
      <t>マイトシ</t>
    </rPh>
    <rPh sb="42" eb="43">
      <t>ドシ</t>
    </rPh>
    <rPh sb="65" eb="66">
      <t>ツキ</t>
    </rPh>
    <phoneticPr fontId="2"/>
  </si>
  <si>
    <t>駐車場</t>
    <rPh sb="0" eb="3">
      <t>チュウシャジョウ</t>
    </rPh>
    <phoneticPr fontId="2"/>
  </si>
  <si>
    <t>購入（頭金）</t>
    <rPh sb="0" eb="2">
      <t>コウニュウ</t>
    </rPh>
    <rPh sb="3" eb="5">
      <t>アタマキン</t>
    </rPh>
    <phoneticPr fontId="2"/>
  </si>
  <si>
    <t>イベント</t>
    <phoneticPr fontId="2"/>
  </si>
  <si>
    <t>入力</t>
    <rPh sb="0" eb="2">
      <t>ニュウリョク</t>
    </rPh>
    <phoneticPr fontId="2"/>
  </si>
  <si>
    <t>name</t>
    <phoneticPr fontId="2"/>
  </si>
  <si>
    <t>NULL</t>
    <phoneticPr fontId="2"/>
  </si>
  <si>
    <t>namae</t>
    <phoneticPr fontId="2"/>
  </si>
  <si>
    <t>birth</t>
    <phoneticPr fontId="2"/>
  </si>
  <si>
    <t>イベント設定</t>
    <rPh sb="4" eb="6">
      <t>セッテイ</t>
    </rPh>
    <phoneticPr fontId="2"/>
  </si>
  <si>
    <t>[0..99]歳</t>
    <rPh sb="7" eb="8">
      <t>サイ</t>
    </rPh>
    <phoneticPr fontId="2"/>
  </si>
  <si>
    <t>[0..99]年度</t>
    <rPh sb="7" eb="9">
      <t>ネンド</t>
    </rPh>
    <phoneticPr fontId="2"/>
  </si>
  <si>
    <t>小学校期間</t>
    <rPh sb="0" eb="3">
      <t>ショウガッコウ</t>
    </rPh>
    <rPh sb="3" eb="5">
      <t>キカン</t>
    </rPh>
    <phoneticPr fontId="2"/>
  </si>
  <si>
    <t>生成変数：すべて期間（年月）</t>
    <rPh sb="0" eb="2">
      <t>セイセイ</t>
    </rPh>
    <rPh sb="2" eb="4">
      <t>ヘンスウ</t>
    </rPh>
    <rPh sb="8" eb="10">
      <t>キカン</t>
    </rPh>
    <rPh sb="11" eb="13">
      <t>ネンゲツ</t>
    </rPh>
    <phoneticPr fontId="2"/>
  </si>
  <si>
    <t>小学校入学</t>
    <rPh sb="0" eb="3">
      <t>ショウガッコウ</t>
    </rPh>
    <rPh sb="3" eb="5">
      <t>ニュウガク</t>
    </rPh>
    <phoneticPr fontId="2"/>
  </si>
  <si>
    <t>小学校卒業</t>
    <rPh sb="0" eb="3">
      <t>ショウガッコウ</t>
    </rPh>
    <rPh sb="3" eb="5">
      <t>ソツギョウ</t>
    </rPh>
    <phoneticPr fontId="2"/>
  </si>
  <si>
    <t>中学校期間</t>
    <rPh sb="0" eb="3">
      <t>チュウガッコウ</t>
    </rPh>
    <rPh sb="3" eb="5">
      <t>キカン</t>
    </rPh>
    <phoneticPr fontId="2"/>
  </si>
  <si>
    <t>中学校入学</t>
    <rPh sb="0" eb="3">
      <t>チュウガッコウ</t>
    </rPh>
    <rPh sb="3" eb="5">
      <t>ニュウガク</t>
    </rPh>
    <phoneticPr fontId="2"/>
  </si>
  <si>
    <t>中学校卒業</t>
    <rPh sb="0" eb="3">
      <t>チュウガッコウ</t>
    </rPh>
    <rPh sb="3" eb="5">
      <t>ソツギョウ</t>
    </rPh>
    <phoneticPr fontId="2"/>
  </si>
  <si>
    <t>ages[0..99]</t>
    <phoneticPr fontId="2"/>
  </si>
  <si>
    <t>nends[0..99]</t>
    <phoneticPr fontId="2"/>
  </si>
  <si>
    <t>小学[1..6]年生</t>
    <rPh sb="0" eb="2">
      <t>ショウガク</t>
    </rPh>
    <rPh sb="8" eb="10">
      <t>ネンセイ</t>
    </rPh>
    <phoneticPr fontId="2"/>
  </si>
  <si>
    <t>elementaries[0..5]</t>
    <phoneticPr fontId="2"/>
  </si>
  <si>
    <t>中学[1..3]年生</t>
    <rPh sb="0" eb="2">
      <t>チュウガク</t>
    </rPh>
    <rPh sb="8" eb="10">
      <t>ネンセイ</t>
    </rPh>
    <phoneticPr fontId="2"/>
  </si>
  <si>
    <t>juniorhighs[0..2]</t>
    <phoneticPr fontId="2"/>
  </si>
  <si>
    <t>arguments</t>
    <phoneticPr fontId="2"/>
  </si>
  <si>
    <t>variables</t>
    <phoneticPr fontId="2"/>
  </si>
  <si>
    <t>events</t>
    <phoneticPr fontId="2"/>
  </si>
  <si>
    <t>depends</t>
    <phoneticPr fontId="2"/>
  </si>
  <si>
    <t>誕生年月</t>
    <rPh sb="0" eb="4">
      <t>タンジョウネンゲツ</t>
    </rPh>
    <phoneticPr fontId="2"/>
  </si>
  <si>
    <t>range</t>
    <phoneticPr fontId="2"/>
  </si>
  <si>
    <t>has_kinder</t>
  </si>
  <si>
    <t>kinder_years</t>
  </si>
  <si>
    <t>elementary_all</t>
    <phoneticPr fontId="2"/>
  </si>
  <si>
    <t>elementary_start</t>
    <phoneticPr fontId="2"/>
  </si>
  <si>
    <t>elementary_end</t>
    <phoneticPr fontId="2"/>
  </si>
  <si>
    <t>juniorhigh_all</t>
    <phoneticPr fontId="2"/>
  </si>
  <si>
    <t>juniorhigh_start</t>
    <phoneticPr fontId="2"/>
  </si>
  <si>
    <t>juniorhigh_end</t>
    <phoneticPr fontId="2"/>
  </si>
  <si>
    <t>birthday(0-6)</t>
    <phoneticPr fontId="2"/>
  </si>
  <si>
    <t>birthday(7-12)</t>
    <phoneticPr fontId="2"/>
  </si>
  <si>
    <t>birthday(13-15)</t>
    <phoneticPr fontId="2"/>
  </si>
  <si>
    <t>birthday(16-)</t>
    <phoneticPr fontId="2"/>
  </si>
  <si>
    <t>child_allowance(3-elementary)</t>
    <phoneticPr fontId="2"/>
  </si>
  <si>
    <t>child_allowance(juniorhigh)</t>
    <phoneticPr fontId="2"/>
  </si>
  <si>
    <t>学資保険（かんぽ）</t>
    <rPh sb="0" eb="4">
      <t>ガクシホケン</t>
    </rPh>
    <phoneticPr fontId="2"/>
  </si>
  <si>
    <t>io</t>
    <phoneticPr fontId="2"/>
  </si>
  <si>
    <t>(0～6歳)</t>
    <phoneticPr fontId="2"/>
  </si>
  <si>
    <t>誕生日</t>
    <phoneticPr fontId="2"/>
  </si>
  <si>
    <t>(7～12歳)</t>
    <phoneticPr fontId="2"/>
  </si>
  <si>
    <t>(13～15歳)</t>
    <phoneticPr fontId="2"/>
  </si>
  <si>
    <t>(16歳～)</t>
    <phoneticPr fontId="2"/>
  </si>
  <si>
    <t>(3歳未満)</t>
    <rPh sb="2" eb="5">
      <t>サイミマン</t>
    </rPh>
    <phoneticPr fontId="2"/>
  </si>
  <si>
    <t>子供手当</t>
    <phoneticPr fontId="2"/>
  </si>
  <si>
    <t>(3歳～小学校)</t>
    <rPh sb="2" eb="3">
      <t>サイ</t>
    </rPh>
    <rPh sb="4" eb="7">
      <t>ショウガッコウ</t>
    </rPh>
    <phoneticPr fontId="2"/>
  </si>
  <si>
    <t>(中学校)</t>
    <rPh sb="1" eb="4">
      <t>チュウガッコウ</t>
    </rPh>
    <phoneticPr fontId="2"/>
  </si>
  <si>
    <t>group</t>
    <phoneticPr fontId="2"/>
  </si>
  <si>
    <t>expressions</t>
    <phoneticPr fontId="2"/>
  </si>
  <si>
    <t>期間</t>
    <rPh sb="0" eb="2">
      <t>キカン</t>
    </rPh>
    <phoneticPr fontId="2"/>
  </si>
  <si>
    <t>${ages[0]}</t>
    <phoneticPr fontId="2"/>
  </si>
  <si>
    <t>${ages[6]}</t>
  </si>
  <si>
    <t>${birth}</t>
    <phoneticPr fontId="2"/>
  </si>
  <si>
    <t>${ages[7]}</t>
    <phoneticPr fontId="2"/>
  </si>
  <si>
    <t>${ages[12]}</t>
  </si>
  <si>
    <t>${ages[13]}</t>
    <phoneticPr fontId="2"/>
  </si>
  <si>
    <t>${ages[15]}</t>
  </si>
  <si>
    <t>${ages[16]}</t>
    <phoneticPr fontId="2"/>
  </si>
  <si>
    <t>ym_between</t>
    <phoneticPr fontId="2"/>
  </si>
  <si>
    <t>ym_ge(&gt;=)</t>
    <phoneticPr fontId="2"/>
  </si>
  <si>
    <t>m_eq(==)</t>
    <phoneticPr fontId="2"/>
  </si>
  <si>
    <t>__base__</t>
    <phoneticPr fontId="2"/>
  </si>
  <si>
    <t>${ages[3]}</t>
    <phoneticPr fontId="2"/>
  </si>
  <si>
    <t>${elementary_end}</t>
    <phoneticPr fontId="2"/>
  </si>
  <si>
    <t>${juniorhigh_all}</t>
    <phoneticPr fontId="2"/>
  </si>
  <si>
    <t>ym_eq(==)</t>
    <phoneticPr fontId="2"/>
  </si>
  <si>
    <t>$(2, 6, 10)</t>
    <phoneticPr fontId="2"/>
  </si>
  <si>
    <t>単年月</t>
    <rPh sb="0" eb="1">
      <t>タン</t>
    </rPh>
    <rPh sb="1" eb="3">
      <t>ネンゲツ</t>
    </rPh>
    <phoneticPr fontId="2"/>
  </si>
  <si>
    <t>m_list</t>
    <phoneticPr fontId="2"/>
  </si>
  <si>
    <t>ym_target</t>
    <phoneticPr fontId="2"/>
  </si>
  <si>
    <t>method</t>
    <phoneticPr fontId="2"/>
  </si>
  <si>
    <t>単年月.ym</t>
    <rPh sb="0" eb="3">
      <t>タンネンゲツ</t>
    </rPh>
    <phoneticPr fontId="2"/>
  </si>
  <si>
    <t>"YYYY-MM"</t>
    <phoneticPr fontId="2"/>
  </si>
  <si>
    <t>単年月.m</t>
    <rPh sb="0" eb="3">
      <t>タンネンゲツ</t>
    </rPh>
    <phoneticPr fontId="2"/>
  </si>
  <si>
    <t>ERROR</t>
    <phoneticPr fontId="2"/>
  </si>
  <si>
    <t>&amp;ym_single</t>
    <phoneticPr fontId="2"/>
  </si>
  <si>
    <t>"[M, ..]"</t>
    <phoneticPr fontId="2"/>
  </si>
  <si>
    <t>&amp;m_every</t>
    <phoneticPr fontId="2"/>
  </si>
  <si>
    <t>&amp;m_some</t>
    <phoneticPr fontId="2"/>
  </si>
  <si>
    <t>毎年[m]月</t>
    <rPh sb="0" eb="2">
      <t>マイトシ</t>
    </rPh>
    <rPh sb="5" eb="6">
      <t>ツキ</t>
    </rPh>
    <phoneticPr fontId="2"/>
  </si>
  <si>
    <t>[s]年ごと毎年[m]月</t>
    <rPh sb="3" eb="4">
      <t>ネン</t>
    </rPh>
    <phoneticPr fontId="2"/>
  </si>
  <si>
    <t>&amp;y_step_m_some</t>
    <phoneticPr fontId="2"/>
  </si>
  <si>
    <t>y_steps</t>
    <phoneticPr fontId="2"/>
  </si>
  <si>
    <t>"N"</t>
    <phoneticPr fontId="2"/>
  </si>
  <si>
    <t>child_allowance(-3)</t>
    <phoneticPr fontId="2"/>
  </si>
  <si>
    <t>否定</t>
    <rPh sb="0" eb="2">
      <t>ヒテイ</t>
    </rPh>
    <phoneticPr fontId="2"/>
  </si>
  <si>
    <t>&amp;not</t>
    <phoneticPr fontId="2"/>
  </si>
  <si>
    <t>expression</t>
    <phoneticPr fontId="2"/>
  </si>
  <si>
    <t>y_start</t>
    <phoneticPr fontId="2"/>
  </si>
  <si>
    <t>単年月.y</t>
    <rPh sb="0" eb="3">
      <t>タンネンゲツ</t>
    </rPh>
    <phoneticPr fontId="2"/>
  </si>
  <si>
    <t>リテラル</t>
    <phoneticPr fontId="2"/>
  </si>
  <si>
    <t xml:space="preserve">  01: false</t>
  </si>
  <si>
    <t xml:space="preserve">  02: false</t>
  </si>
  <si>
    <t xml:space="preserve">  03: false</t>
  </si>
  <si>
    <t xml:space="preserve">  04: false</t>
  </si>
  <si>
    <t xml:space="preserve">  05: false</t>
  </si>
  <si>
    <t xml:space="preserve">  06: false</t>
  </si>
  <si>
    <t xml:space="preserve">  07: false</t>
  </si>
  <si>
    <t xml:space="preserve">  08: false</t>
  </si>
  <si>
    <t xml:space="preserve">  09: false</t>
  </si>
  <si>
    <t xml:space="preserve">  10: false</t>
  </si>
  <si>
    <t xml:space="preserve">  11: false</t>
  </si>
  <si>
    <t xml:space="preserve">  12: false</t>
  </si>
  <si>
    <t xml:space="preserve">  12: true</t>
  </si>
  <si>
    <t xml:space="preserve">  01: true</t>
  </si>
  <si>
    <t xml:space="preserve">  02: true</t>
  </si>
  <si>
    <t xml:space="preserve">  03: true</t>
  </si>
  <si>
    <t xml:space="preserve">  04: true</t>
  </si>
  <si>
    <t xml:space="preserve">  05: true</t>
  </si>
  <si>
    <t xml:space="preserve">  07: true</t>
  </si>
  <si>
    <t xml:space="preserve">  08: true</t>
  </si>
  <si>
    <t xml:space="preserve">  09: true</t>
  </si>
  <si>
    <t xml:space="preserve">  10: true</t>
  </si>
  <si>
    <t xml:space="preserve">  11: true</t>
  </si>
  <si>
    <t xml:space="preserve">  06: true</t>
  </si>
  <si>
    <t>/:section_id</t>
    <phoneticPr fontId="2"/>
  </si>
  <si>
    <t>/:section_id/arguments</t>
    <phoneticPr fontId="2"/>
  </si>
  <si>
    <t>/:section_id/variables</t>
    <phoneticPr fontId="2"/>
  </si>
  <si>
    <t>/:section_id/runner</t>
    <phoneticPr fontId="2"/>
  </si>
  <si>
    <t>/:section_id/:runner_id</t>
    <phoneticPr fontId="2"/>
  </si>
  <si>
    <t>/:section_id/:runner_id/event</t>
    <phoneticPr fontId="2"/>
  </si>
  <si>
    <t>/:section_id/:runner_id/:event_id</t>
    <phoneticPr fontId="2"/>
  </si>
  <si>
    <t>車両</t>
    <rPh sb="0" eb="2">
      <t>シャリョウ</t>
    </rPh>
    <phoneticPr fontId="2"/>
  </si>
  <si>
    <t>variable_namae</t>
  </si>
  <si>
    <t>variable_key</t>
  </si>
  <si>
    <t>datatype</t>
  </si>
  <si>
    <t>required</t>
  </si>
  <si>
    <t>default</t>
  </si>
  <si>
    <t>depends</t>
  </si>
  <si>
    <t>誕生日</t>
  </si>
  <si>
    <t>birth</t>
  </si>
  <si>
    <t>Date</t>
  </si>
  <si>
    <t>保育園に通う</t>
  </si>
  <si>
    <t>has_nursery</t>
  </si>
  <si>
    <t>Boolean</t>
  </si>
  <si>
    <t>保育園開始年齢</t>
  </si>
  <si>
    <t>nursery_from</t>
  </si>
  <si>
    <t>Integer</t>
  </si>
  <si>
    <t>幼稚園に通う</t>
  </si>
  <si>
    <t>幼稚園通園年数</t>
  </si>
  <si>
    <t>高校に進学する</t>
  </si>
  <si>
    <t>has_highschool</t>
  </si>
  <si>
    <t>私立</t>
  </si>
  <si>
    <t>private_highschool</t>
  </si>
  <si>
    <t>県外</t>
  </si>
  <si>
    <t>outside_highschool</t>
  </si>
  <si>
    <t>浪人年数</t>
  </si>
  <si>
    <t>highschool_ronin_years</t>
  </si>
  <si>
    <t>留年年数</t>
  </si>
  <si>
    <t>highschool_repeat_years</t>
  </si>
  <si>
    <t>専門学校に進学する</t>
  </si>
  <si>
    <t>has_career</t>
  </si>
  <si>
    <t>就学年数</t>
  </si>
  <si>
    <t>career_ronin_years</t>
  </si>
  <si>
    <t>outside_career</t>
  </si>
  <si>
    <t>career_repeat_years</t>
  </si>
  <si>
    <t>短大に進学する</t>
  </si>
  <si>
    <t>has_college</t>
  </si>
  <si>
    <t>private_college</t>
  </si>
  <si>
    <t>outside_college</t>
  </si>
  <si>
    <t>college_ronin_years</t>
  </si>
  <si>
    <t>college_repeat_years</t>
  </si>
  <si>
    <t>大学に進学する</t>
  </si>
  <si>
    <t>has_university</t>
  </si>
  <si>
    <t>private_university</t>
  </si>
  <si>
    <t>outside_university</t>
  </si>
  <si>
    <t>university_ronin_years</t>
  </si>
  <si>
    <t>university_repeat_years</t>
  </si>
  <si>
    <t>車検がある車両</t>
  </si>
  <si>
    <t>has_inspection</t>
  </si>
  <si>
    <t>最初の車検</t>
  </si>
  <si>
    <t>inspection_date</t>
  </si>
  <si>
    <t>支払いを管理する</t>
  </si>
  <si>
    <t>has_payments</t>
  </si>
  <si>
    <t>購入日</t>
  </si>
  <si>
    <t>purchase_date</t>
  </si>
  <si>
    <t>頭金（万円）</t>
  </si>
  <si>
    <t>payment_deposit</t>
  </si>
  <si>
    <t>ローン（万円/月）</t>
  </si>
  <si>
    <t>payment_loan_per_month</t>
  </si>
  <si>
    <t>子ども</t>
    <rPh sb="0" eb="1">
      <t>コ</t>
    </rPh>
    <phoneticPr fontId="2"/>
  </si>
  <si>
    <t>null</t>
    <phoneticPr fontId="2"/>
  </si>
  <si>
    <t>preset_key</t>
    <phoneticPr fontId="2"/>
  </si>
  <si>
    <t>preset_namae</t>
  </si>
  <si>
    <r>
      <rPr>
        <sz val="11"/>
        <color theme="1"/>
        <rFont val="Segoe UI Emoji"/>
        <family val="2"/>
      </rPr>
      <t>🧒</t>
    </r>
    <r>
      <rPr>
        <sz val="11"/>
        <color theme="1"/>
        <rFont val="游ゴシック"/>
        <family val="2"/>
        <charset val="128"/>
        <scheme val="minor"/>
      </rPr>
      <t>子ども（学生まで）</t>
    </r>
    <phoneticPr fontId="2"/>
  </si>
  <si>
    <t>__PRESET_CHILD__</t>
    <phoneticPr fontId="2"/>
  </si>
  <si>
    <t>__PRESET_CAR__</t>
    <phoneticPr fontId="2"/>
  </si>
  <si>
    <r>
      <rPr>
        <sz val="11"/>
        <color theme="1"/>
        <rFont val="Segoe UI Symbol"/>
        <family val="2"/>
      </rPr>
      <t>🚙</t>
    </r>
    <r>
      <rPr>
        <sz val="11"/>
        <color theme="1"/>
        <rFont val="游ゴシック"/>
        <family val="2"/>
        <charset val="128"/>
        <scheme val="minor"/>
      </rPr>
      <t>車両</t>
    </r>
    <phoneticPr fontId="2"/>
  </si>
  <si>
    <t>career_school_years</t>
    <phoneticPr fontId="2"/>
  </si>
  <si>
    <t>sort</t>
    <phoneticPr fontId="2"/>
  </si>
  <si>
    <t>preset_key</t>
  </si>
  <si>
    <t>sort</t>
  </si>
  <si>
    <t>__PRESET_ADULT__</t>
  </si>
  <si>
    <t>👨大人（社会人）</t>
  </si>
  <si>
    <t>__PRESET_HOME__</t>
  </si>
  <si>
    <t>🏠住居・生活費</t>
  </si>
  <si>
    <t>__PRESET_EMPTY__</t>
  </si>
  <si>
    <t>👨‍👩‍👧‍👦空（自分で作成）</t>
  </si>
  <si>
    <t>大人</t>
    <rPh sb="0" eb="2">
      <t>オトナ</t>
    </rPh>
    <phoneticPr fontId="2"/>
  </si>
  <si>
    <t>住居</t>
    <rPh sb="0" eb="2">
      <t>ジュウキョ</t>
    </rPh>
    <phoneticPr fontId="2"/>
  </si>
  <si>
    <t>空</t>
    <rPh sb="0" eb="1">
      <t>カラ</t>
    </rPh>
    <phoneticPr fontId="2"/>
  </si>
  <si>
    <t>家賃</t>
    <rPh sb="0" eb="2">
      <t>ヤチン</t>
    </rPh>
    <phoneticPr fontId="2"/>
  </si>
  <si>
    <t>ローン</t>
    <phoneticPr fontId="2"/>
  </si>
  <si>
    <t>頭金</t>
    <rPh sb="0" eb="2">
      <t>アタマキン</t>
    </rPh>
    <phoneticPr fontId="2"/>
  </si>
  <si>
    <t>電気：春秋、夏、冬</t>
    <rPh sb="0" eb="2">
      <t>デンキ</t>
    </rPh>
    <rPh sb="3" eb="5">
      <t>ハルアキ</t>
    </rPh>
    <rPh sb="6" eb="7">
      <t>ナツ</t>
    </rPh>
    <rPh sb="8" eb="9">
      <t>フユ</t>
    </rPh>
    <phoneticPr fontId="2"/>
  </si>
  <si>
    <t>ガス：春秋、夏、冬</t>
    <phoneticPr fontId="2"/>
  </si>
  <si>
    <t>水道：春秋、夏、冬</t>
    <rPh sb="0" eb="2">
      <t>スイドウ</t>
    </rPh>
    <phoneticPr fontId="2"/>
  </si>
  <si>
    <t>給与</t>
    <rPh sb="0" eb="2">
      <t>キュウヨ</t>
    </rPh>
    <phoneticPr fontId="2"/>
  </si>
  <si>
    <t>ボーナス</t>
    <phoneticPr fontId="2"/>
  </si>
  <si>
    <t>携帯</t>
    <rPh sb="0" eb="2">
      <t>ケイタイ</t>
    </rPh>
    <phoneticPr fontId="2"/>
  </si>
  <si>
    <t>小遣い</t>
    <rPh sb="0" eb="2">
      <t>コヅカ</t>
    </rPh>
    <phoneticPr fontId="2"/>
  </si>
  <si>
    <t>生成変数</t>
    <rPh sb="0" eb="4">
      <t>セイセイヘンスウ</t>
    </rPh>
    <phoneticPr fontId="2"/>
  </si>
  <si>
    <t>年度</t>
    <rPh sb="0" eb="2">
      <t>ネンド</t>
    </rPh>
    <phoneticPr fontId="2"/>
  </si>
  <si>
    <t>イベント</t>
    <phoneticPr fontId="2"/>
  </si>
  <si>
    <t>誕生日</t>
    <rPh sb="0" eb="3">
      <t>タンジョウビ</t>
    </rPh>
    <phoneticPr fontId="2"/>
  </si>
  <si>
    <t>エンティティ</t>
    <phoneticPr fontId="2"/>
  </si>
  <si>
    <t>from</t>
    <phoneticPr fontId="2"/>
  </si>
  <si>
    <t>to</t>
    <phoneticPr fontId="2"/>
  </si>
  <si>
    <t>幼年</t>
    <rPh sb="0" eb="2">
      <t>ヨウネン</t>
    </rPh>
    <phoneticPr fontId="2"/>
  </si>
  <si>
    <t>小学生</t>
    <rPh sb="0" eb="3">
      <t>ショウガクセイ</t>
    </rPh>
    <phoneticPr fontId="2"/>
  </si>
  <si>
    <t>中学生</t>
    <rPh sb="0" eb="3">
      <t>チュウガクセイ</t>
    </rPh>
    <phoneticPr fontId="2"/>
  </si>
  <si>
    <t>高校生</t>
    <rPh sb="0" eb="3">
      <t>コウコウセイ</t>
    </rPh>
    <phoneticPr fontId="2"/>
  </si>
  <si>
    <t>大学生</t>
    <rPh sb="0" eb="3">
      <t>ダイガクセイ</t>
    </rPh>
    <phoneticPr fontId="2"/>
  </si>
  <si>
    <t>クリスマス</t>
    <phoneticPr fontId="2"/>
  </si>
  <si>
    <t>保育園</t>
    <rPh sb="0" eb="3">
      <t>ホイクエン</t>
    </rPh>
    <phoneticPr fontId="2"/>
  </si>
  <si>
    <t>入学</t>
    <rPh sb="0" eb="2">
      <t>ニュウガク</t>
    </rPh>
    <phoneticPr fontId="2"/>
  </si>
  <si>
    <t>入園</t>
    <rPh sb="0" eb="2">
      <t>ニュウエン</t>
    </rPh>
    <phoneticPr fontId="2"/>
  </si>
  <si>
    <t>小学校</t>
    <rPh sb="0" eb="3">
      <t>ショウガッコウ</t>
    </rPh>
    <phoneticPr fontId="2"/>
  </si>
  <si>
    <t>0歳</t>
    <rPh sb="1" eb="2">
      <t>サイ</t>
    </rPh>
    <phoneticPr fontId="2"/>
  </si>
  <si>
    <t>6歳</t>
    <rPh sb="1" eb="2">
      <t>サイ</t>
    </rPh>
    <phoneticPr fontId="2"/>
  </si>
  <si>
    <t>12歳</t>
    <rPh sb="2" eb="3">
      <t>サイ</t>
    </rPh>
    <phoneticPr fontId="2"/>
  </si>
  <si>
    <t>13歳</t>
    <rPh sb="2" eb="3">
      <t>サイ</t>
    </rPh>
    <phoneticPr fontId="2"/>
  </si>
  <si>
    <t>15歳</t>
    <rPh sb="2" eb="3">
      <t>サイ</t>
    </rPh>
    <phoneticPr fontId="2"/>
  </si>
  <si>
    <t>7歳</t>
    <rPh sb="1" eb="2">
      <t>サイ</t>
    </rPh>
    <phoneticPr fontId="2"/>
  </si>
  <si>
    <t>16歳</t>
    <rPh sb="2" eb="3">
      <t>サイ</t>
    </rPh>
    <phoneticPr fontId="2"/>
  </si>
  <si>
    <t>18歳</t>
    <rPh sb="2" eb="3">
      <t>サイ</t>
    </rPh>
    <phoneticPr fontId="2"/>
  </si>
  <si>
    <t>19歳</t>
    <rPh sb="2" eb="3">
      <t>サイ</t>
    </rPh>
    <phoneticPr fontId="2"/>
  </si>
  <si>
    <t>22歳</t>
    <rPh sb="2" eb="3">
      <t>サイ</t>
    </rPh>
    <phoneticPr fontId="2"/>
  </si>
  <si>
    <t>X歳</t>
    <rPh sb="1" eb="2">
      <t>サイ</t>
    </rPh>
    <phoneticPr fontId="2"/>
  </si>
  <si>
    <t>月謝</t>
    <rPh sb="0" eb="2">
      <t>ゲッシャ</t>
    </rPh>
    <phoneticPr fontId="2"/>
  </si>
  <si>
    <t>毎月</t>
    <rPh sb="0" eb="2">
      <t>マイツキ</t>
    </rPh>
    <phoneticPr fontId="2"/>
  </si>
  <si>
    <t>4月</t>
    <rPh sb="1" eb="2">
      <t>ガツ</t>
    </rPh>
    <phoneticPr fontId="2"/>
  </si>
  <si>
    <t>payment_last_month</t>
    <phoneticPr fontId="2"/>
  </si>
  <si>
    <t>ローン完済日</t>
    <rPh sb="3" eb="5">
      <t>カンサイ</t>
    </rPh>
    <rPh sb="5" eb="6">
      <t>ビ</t>
    </rPh>
    <phoneticPr fontId="2"/>
  </si>
  <si>
    <t>頭金（万円）</t>
    <phoneticPr fontId="2"/>
  </si>
  <si>
    <t>車検</t>
    <rPh sb="0" eb="2">
      <t>シャケン</t>
    </rPh>
    <phoneticPr fontId="2"/>
  </si>
  <si>
    <t>点検</t>
    <rPh sb="0" eb="2">
      <t>テンケン</t>
    </rPh>
    <phoneticPr fontId="2"/>
  </si>
  <si>
    <t>null</t>
    <phoneticPr fontId="2"/>
  </si>
  <si>
    <t>has_inspection?</t>
    <phoneticPr fontId="2"/>
  </si>
  <si>
    <t>維持費</t>
    <rPh sb="0" eb="3">
      <t>イジヒ</t>
    </rPh>
    <phoneticPr fontId="2"/>
  </si>
  <si>
    <t>ガソリン代</t>
    <rPh sb="4" eb="5">
      <t>ダイ</t>
    </rPh>
    <phoneticPr fontId="2"/>
  </si>
  <si>
    <t>金額</t>
    <rPh sb="0" eb="2">
      <t>キンガク</t>
    </rPh>
    <phoneticPr fontId="2"/>
  </si>
  <si>
    <t>expession</t>
    <phoneticPr fontId="2"/>
  </si>
  <si>
    <t>has_payments</t>
    <phoneticPr fontId="2"/>
  </si>
  <si>
    <t>詳細：</t>
    <rPh sb="0" eb="2">
      <t>ショウサイ</t>
    </rPh>
    <phoneticPr fontId="2"/>
  </si>
  <si>
    <t>携帯電話</t>
    <rPh sb="0" eb="4">
      <t>ケイタイデンワ</t>
    </rPh>
    <phoneticPr fontId="2"/>
  </si>
  <si>
    <t>習い事</t>
    <rPh sb="0" eb="1">
      <t>ナラ</t>
    </rPh>
    <rPh sb="2" eb="3">
      <t>ゴト</t>
    </rPh>
    <phoneticPr fontId="2"/>
  </si>
  <si>
    <t>イベント</t>
    <phoneticPr fontId="2"/>
  </si>
  <si>
    <t>家族イベント</t>
    <rPh sb="0" eb="2">
      <t>カゾク</t>
    </rPh>
    <phoneticPr fontId="2"/>
  </si>
  <si>
    <t>__PRESET_EVENT__</t>
    <phoneticPr fontId="2"/>
  </si>
  <si>
    <t>1歳</t>
    <rPh sb="1" eb="2">
      <t>サイ</t>
    </rPh>
    <phoneticPr fontId="2"/>
  </si>
  <si>
    <t>2歳</t>
    <rPh sb="1" eb="2">
      <t>サイ</t>
    </rPh>
    <phoneticPr fontId="2"/>
  </si>
  <si>
    <t>3歳</t>
    <rPh sb="1" eb="2">
      <t>サイ</t>
    </rPh>
    <phoneticPr fontId="2"/>
  </si>
  <si>
    <t>4歳</t>
    <rPh sb="1" eb="2">
      <t>サイ</t>
    </rPh>
    <phoneticPr fontId="2"/>
  </si>
  <si>
    <t>5歳</t>
    <rPh sb="1" eb="2">
      <t>サイ</t>
    </rPh>
    <phoneticPr fontId="2"/>
  </si>
  <si>
    <t>8歳</t>
    <rPh sb="1" eb="2">
      <t>サイ</t>
    </rPh>
    <phoneticPr fontId="2"/>
  </si>
  <si>
    <t>9歳</t>
    <rPh sb="1" eb="2">
      <t>サイ</t>
    </rPh>
    <phoneticPr fontId="2"/>
  </si>
  <si>
    <t>10歳</t>
    <rPh sb="2" eb="3">
      <t>サイ</t>
    </rPh>
    <phoneticPr fontId="2"/>
  </si>
  <si>
    <t>11歳</t>
    <rPh sb="2" eb="3">
      <t>サイ</t>
    </rPh>
    <phoneticPr fontId="2"/>
  </si>
  <si>
    <t>14歳</t>
    <rPh sb="2" eb="3">
      <t>サイ</t>
    </rPh>
    <phoneticPr fontId="2"/>
  </si>
  <si>
    <t>17歳</t>
    <rPh sb="2" eb="3">
      <t>サイ</t>
    </rPh>
    <phoneticPr fontId="2"/>
  </si>
  <si>
    <t>20歳</t>
    <rPh sb="2" eb="3">
      <t>サイ</t>
    </rPh>
    <phoneticPr fontId="2"/>
  </si>
  <si>
    <t>21歳</t>
    <rPh sb="2" eb="3">
      <t>サイ</t>
    </rPh>
    <phoneticPr fontId="2"/>
  </si>
  <si>
    <t>23歳</t>
    <rPh sb="2" eb="3">
      <t>サイ</t>
    </rPh>
    <phoneticPr fontId="2"/>
  </si>
  <si>
    <t>中学校</t>
    <rPh sb="0" eb="3">
      <t>チュウガッコウ</t>
    </rPh>
    <phoneticPr fontId="2"/>
  </si>
  <si>
    <t>高校</t>
    <rPh sb="0" eb="2">
      <t>コウコウ</t>
    </rPh>
    <phoneticPr fontId="2"/>
  </si>
  <si>
    <t>大学</t>
    <rPh sb="0" eb="2">
      <t>ダイガク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</si>
</sst>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"/>
    <numFmt numFmtId="180" formatCode="yyyy&quot;/&quot;mm"/>
  </numFmts>
  <fonts count="1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Segoe UI Symbol"/>
      <family val="2"/>
    </font>
    <font>
      <sz val="11"/>
      <color theme="1"/>
      <name val="ＭＳ Ｐゴシック"/>
      <family val="2"/>
      <charset val="128"/>
    </font>
    <font>
      <sz val="11"/>
      <color theme="1" tint="0.499984740745262"/>
      <name val="游ゴシック"/>
      <family val="2"/>
      <charset val="128"/>
      <scheme val="minor"/>
    </font>
    <font>
      <sz val="11"/>
      <color theme="1" tint="0.499984740745262"/>
      <name val="Segoe UI Symbol"/>
      <family val="2"/>
    </font>
    <font>
      <sz val="11"/>
      <name val="游ゴシック"/>
      <family val="2"/>
      <charset val="128"/>
      <scheme val="minor"/>
    </font>
    <font>
      <sz val="11"/>
      <name val="Segoe UI Symbol"/>
      <family val="2"/>
    </font>
    <font>
      <b/>
      <sz val="11"/>
      <color theme="1"/>
      <name val="游ゴシック"/>
      <family val="3"/>
      <charset val="128"/>
      <scheme val="minor"/>
    </font>
    <font>
      <sz val="11"/>
      <name val="Consolas"/>
      <family val="3"/>
    </font>
    <font>
      <sz val="11"/>
      <color theme="1"/>
      <name val="Segoe UI Emoji"/>
      <family val="2"/>
    </font>
    <font>
      <sz val="11"/>
      <color rgb="FFFF0000"/>
      <name val="游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5" fillId="0" borderId="0" xfId="0" applyFont="1">
      <alignment vertical="center"/>
    </xf>
    <xf numFmtId="38" fontId="5" fillId="0" borderId="0" xfId="1" applyFo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right" vertical="center"/>
    </xf>
    <xf numFmtId="0" fontId="9" fillId="0" borderId="0" xfId="0" applyFont="1">
      <alignment vertical="center"/>
    </xf>
    <xf numFmtId="38" fontId="0" fillId="0" borderId="0" xfId="1" applyFont="1">
      <alignment vertical="center"/>
    </xf>
    <xf numFmtId="0" fontId="0" fillId="0" borderId="0" xfId="0" quotePrefix="1">
      <alignment vertical="center"/>
    </xf>
    <xf numFmtId="46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0" fillId="0" borderId="0" xfId="0" applyFont="1">
      <alignment vertical="center"/>
    </xf>
    <xf numFmtId="0" fontId="7" fillId="0" borderId="0" xfId="0" applyFont="1">
      <alignment vertical="center"/>
    </xf>
    <xf numFmtId="38" fontId="7" fillId="0" borderId="0" xfId="1" applyFont="1">
      <alignment vertical="center"/>
    </xf>
    <xf numFmtId="0" fontId="7" fillId="0" borderId="0" xfId="0" quotePrefix="1" applyFont="1">
      <alignment vertical="center"/>
    </xf>
    <xf numFmtId="0" fontId="12" fillId="0" borderId="0" xfId="0" applyFont="1">
      <alignment vertical="center"/>
    </xf>
    <xf numFmtId="0" fontId="0" fillId="0" borderId="0" xfId="0">
      <alignment vertical="center"/>
    </xf>
    <xf numFmtId="180" fontId="0" fillId="0" borderId="0" xfId="0" applyNumberFormat="1">
      <alignment vertical="center"/>
    </xf>
    <xf numFmtId="180" fontId="0" fillId="4" borderId="0" xfId="0" applyNumberFormat="1" applyFill="1">
      <alignment vertical="center"/>
    </xf>
    <xf numFmtId="0" fontId="0" fillId="4" borderId="0" xfId="0" applyFill="1">
      <alignment vertical="center"/>
    </xf>
    <xf numFmtId="180" fontId="0" fillId="5" borderId="0" xfId="0" applyNumberFormat="1" applyFill="1">
      <alignment vertical="center"/>
    </xf>
    <xf numFmtId="0" fontId="0" fillId="5" borderId="0" xfId="0" applyFill="1">
      <alignment vertical="center"/>
    </xf>
    <xf numFmtId="180" fontId="0" fillId="6" borderId="0" xfId="0" applyNumberFormat="1" applyFill="1">
      <alignment vertical="center"/>
    </xf>
    <xf numFmtId="0" fontId="0" fillId="6" borderId="0" xfId="0" applyFill="1">
      <alignment vertical="center"/>
    </xf>
    <xf numFmtId="180" fontId="0" fillId="7" borderId="0" xfId="0" applyNumberFormat="1" applyFill="1">
      <alignment vertical="center"/>
    </xf>
    <xf numFmtId="0" fontId="0" fillId="7" borderId="0" xfId="0" applyFill="1">
      <alignment vertical="center"/>
    </xf>
    <xf numFmtId="0" fontId="0" fillId="0" borderId="1" xfId="0" applyBorder="1">
      <alignment vertical="center"/>
    </xf>
    <xf numFmtId="180" fontId="0" fillId="0" borderId="1" xfId="0" applyNumberFormat="1" applyBorder="1">
      <alignment vertical="center"/>
    </xf>
    <xf numFmtId="180" fontId="0" fillId="4" borderId="1" xfId="0" applyNumberFormat="1" applyFill="1" applyBorder="1">
      <alignment vertical="center"/>
    </xf>
    <xf numFmtId="180" fontId="0" fillId="5" borderId="1" xfId="0" applyNumberFormat="1" applyFill="1" applyBorder="1">
      <alignment vertical="center"/>
    </xf>
    <xf numFmtId="180" fontId="0" fillId="6" borderId="1" xfId="0" applyNumberFormat="1" applyFill="1" applyBorder="1">
      <alignment vertical="center"/>
    </xf>
    <xf numFmtId="180" fontId="0" fillId="7" borderId="1" xfId="0" applyNumberFormat="1" applyFill="1" applyBorder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89DAC-EAE1-4132-AAE9-D20E90301479}">
  <dimension ref="A1:H76"/>
  <sheetViews>
    <sheetView workbookViewId="0">
      <selection activeCell="D48" sqref="D48"/>
    </sheetView>
  </sheetViews>
  <sheetFormatPr defaultRowHeight="18.75" x14ac:dyDescent="0.4"/>
  <cols>
    <col min="1" max="1" width="11" bestFit="1" customWidth="1"/>
    <col min="2" max="2" width="11.375" style="2" bestFit="1" customWidth="1"/>
    <col min="3" max="3" width="3.375" style="3" bestFit="1" customWidth="1"/>
    <col min="4" max="4" width="16.125" style="8" bestFit="1" customWidth="1"/>
    <col min="5" max="5" width="8.125" style="8" bestFit="1" customWidth="1"/>
    <col min="6" max="6" width="23.5" bestFit="1" customWidth="1"/>
    <col min="7" max="7" width="81.375" style="6" bestFit="1" customWidth="1"/>
    <col min="8" max="8" width="10.375" style="7" bestFit="1" customWidth="1"/>
    <col min="9" max="9" width="42.125" bestFit="1" customWidth="1"/>
    <col min="10" max="10" width="42.25" bestFit="1" customWidth="1"/>
  </cols>
  <sheetData>
    <row r="1" spans="1:8" ht="19.5" customHeight="1" x14ac:dyDescent="0.4">
      <c r="A1" t="s">
        <v>0</v>
      </c>
      <c r="D1" s="8" t="s">
        <v>80</v>
      </c>
      <c r="F1" t="s">
        <v>9</v>
      </c>
    </row>
    <row r="2" spans="1:8" x14ac:dyDescent="0.4">
      <c r="B2" s="2" t="s">
        <v>2</v>
      </c>
      <c r="C2" s="3" t="s">
        <v>3</v>
      </c>
      <c r="G2" s="6" t="s">
        <v>4</v>
      </c>
      <c r="H2" s="7" t="s">
        <v>9</v>
      </c>
    </row>
    <row r="4" spans="1:8" x14ac:dyDescent="0.4">
      <c r="A4" s="1" t="s">
        <v>1</v>
      </c>
      <c r="B4" s="4">
        <v>41061</v>
      </c>
    </row>
    <row r="5" spans="1:8" x14ac:dyDescent="0.4">
      <c r="A5" s="1"/>
      <c r="B5" s="4"/>
      <c r="D5" s="8" t="s">
        <v>65</v>
      </c>
      <c r="E5" s="8" t="s">
        <v>19</v>
      </c>
    </row>
    <row r="6" spans="1:8" x14ac:dyDescent="0.4">
      <c r="C6" s="5"/>
      <c r="D6" s="9"/>
      <c r="E6" s="9"/>
      <c r="F6" t="s">
        <v>79</v>
      </c>
      <c r="G6" s="6" t="s">
        <v>66</v>
      </c>
      <c r="H6" s="7">
        <v>-1500000</v>
      </c>
    </row>
    <row r="7" spans="1:8" x14ac:dyDescent="0.4">
      <c r="C7" s="5"/>
      <c r="D7" s="9"/>
      <c r="E7" s="9"/>
      <c r="F7" t="s">
        <v>13</v>
      </c>
      <c r="G7" s="6" t="s">
        <v>7</v>
      </c>
      <c r="H7" s="7">
        <v>-30000</v>
      </c>
    </row>
    <row r="8" spans="1:8" x14ac:dyDescent="0.4">
      <c r="C8" s="5"/>
      <c r="D8" s="9"/>
      <c r="E8" s="9"/>
      <c r="F8" t="s">
        <v>12</v>
      </c>
      <c r="G8" s="6" t="s">
        <v>14</v>
      </c>
      <c r="H8" s="7">
        <v>-150000</v>
      </c>
    </row>
    <row r="9" spans="1:8" x14ac:dyDescent="0.4">
      <c r="A9" s="1"/>
      <c r="B9" s="4"/>
      <c r="D9" s="8" t="s">
        <v>46</v>
      </c>
      <c r="E9" s="8" t="s">
        <v>19</v>
      </c>
    </row>
    <row r="10" spans="1:8" x14ac:dyDescent="0.4">
      <c r="F10" t="s">
        <v>11</v>
      </c>
      <c r="G10" s="6" t="s">
        <v>17</v>
      </c>
      <c r="H10" s="7">
        <v>-150000</v>
      </c>
    </row>
    <row r="11" spans="1:8" x14ac:dyDescent="0.4">
      <c r="F11" t="s">
        <v>5</v>
      </c>
      <c r="G11" s="6" t="s">
        <v>63</v>
      </c>
      <c r="H11" s="7">
        <v>-10000</v>
      </c>
    </row>
    <row r="12" spans="1:8" x14ac:dyDescent="0.4">
      <c r="F12" t="s">
        <v>6</v>
      </c>
      <c r="G12" s="6" t="s">
        <v>16</v>
      </c>
      <c r="H12" s="7">
        <v>-10000</v>
      </c>
    </row>
    <row r="13" spans="1:8" x14ac:dyDescent="0.4">
      <c r="F13" t="s">
        <v>8</v>
      </c>
      <c r="G13" s="6" t="s">
        <v>15</v>
      </c>
      <c r="H13" s="7">
        <v>-60000</v>
      </c>
    </row>
    <row r="14" spans="1:8" x14ac:dyDescent="0.4">
      <c r="F14" t="s">
        <v>78</v>
      </c>
      <c r="G14" s="6" t="s">
        <v>16</v>
      </c>
      <c r="H14" s="7">
        <v>-10000</v>
      </c>
    </row>
    <row r="16" spans="1:8" x14ac:dyDescent="0.4">
      <c r="A16" t="s">
        <v>10</v>
      </c>
      <c r="B16" s="4">
        <v>42826</v>
      </c>
    </row>
    <row r="19" spans="1:7" x14ac:dyDescent="0.4">
      <c r="A19" t="s">
        <v>18</v>
      </c>
      <c r="B19" s="10">
        <v>38687</v>
      </c>
      <c r="D19" s="8" t="s">
        <v>47</v>
      </c>
      <c r="E19" s="8" t="s">
        <v>19</v>
      </c>
    </row>
    <row r="20" spans="1:7" x14ac:dyDescent="0.4">
      <c r="B20" s="10"/>
      <c r="F20" t="s">
        <v>33</v>
      </c>
      <c r="G20" s="6" t="s">
        <v>62</v>
      </c>
    </row>
    <row r="21" spans="1:7" x14ac:dyDescent="0.4">
      <c r="B21" s="10"/>
      <c r="F21" t="s">
        <v>34</v>
      </c>
      <c r="G21" s="6" t="s">
        <v>64</v>
      </c>
    </row>
    <row r="22" spans="1:7" x14ac:dyDescent="0.4">
      <c r="B22" s="10"/>
      <c r="F22" t="s">
        <v>35</v>
      </c>
      <c r="G22" s="6" t="s">
        <v>64</v>
      </c>
    </row>
    <row r="23" spans="1:7" x14ac:dyDescent="0.4">
      <c r="B23" s="10"/>
      <c r="F23" t="s">
        <v>36</v>
      </c>
      <c r="G23" s="6" t="s">
        <v>64</v>
      </c>
    </row>
    <row r="24" spans="1:7" x14ac:dyDescent="0.4">
      <c r="B24" s="10"/>
      <c r="F24" t="s">
        <v>37</v>
      </c>
      <c r="G24" s="6" t="s">
        <v>64</v>
      </c>
    </row>
    <row r="25" spans="1:7" x14ac:dyDescent="0.4">
      <c r="D25" s="8" t="s">
        <v>30</v>
      </c>
      <c r="E25" s="8" t="s">
        <v>23</v>
      </c>
    </row>
    <row r="26" spans="1:7" x14ac:dyDescent="0.4">
      <c r="D26" s="8" t="s">
        <v>20</v>
      </c>
      <c r="E26" s="8" t="s">
        <v>22</v>
      </c>
    </row>
    <row r="27" spans="1:7" x14ac:dyDescent="0.4">
      <c r="D27" s="8" t="s">
        <v>48</v>
      </c>
      <c r="E27" s="8" t="s">
        <v>19</v>
      </c>
    </row>
    <row r="28" spans="1:7" x14ac:dyDescent="0.4">
      <c r="D28" s="8" t="s">
        <v>49</v>
      </c>
      <c r="E28" s="8" t="s">
        <v>19</v>
      </c>
    </row>
    <row r="29" spans="1:7" x14ac:dyDescent="0.4">
      <c r="F29" t="s">
        <v>38</v>
      </c>
      <c r="G29" s="6" t="s">
        <v>67</v>
      </c>
    </row>
    <row r="30" spans="1:7" x14ac:dyDescent="0.4">
      <c r="F30" t="s">
        <v>39</v>
      </c>
      <c r="G30" s="6" t="s">
        <v>73</v>
      </c>
    </row>
    <row r="31" spans="1:7" x14ac:dyDescent="0.4">
      <c r="F31" t="s">
        <v>40</v>
      </c>
      <c r="G31" s="6" t="s">
        <v>74</v>
      </c>
    </row>
    <row r="32" spans="1:7" x14ac:dyDescent="0.4">
      <c r="D32" s="8" t="s">
        <v>21</v>
      </c>
      <c r="E32" s="8" t="s">
        <v>22</v>
      </c>
    </row>
    <row r="33" spans="4:7" x14ac:dyDescent="0.4">
      <c r="D33" s="8" t="s">
        <v>50</v>
      </c>
      <c r="E33" s="8" t="s">
        <v>19</v>
      </c>
    </row>
    <row r="34" spans="4:7" x14ac:dyDescent="0.4">
      <c r="D34" s="8" t="s">
        <v>51</v>
      </c>
      <c r="E34" s="8" t="s">
        <v>19</v>
      </c>
    </row>
    <row r="35" spans="4:7" x14ac:dyDescent="0.4">
      <c r="F35" t="s">
        <v>38</v>
      </c>
      <c r="G35" s="6" t="s">
        <v>75</v>
      </c>
    </row>
    <row r="36" spans="4:7" x14ac:dyDescent="0.4">
      <c r="F36" t="s">
        <v>39</v>
      </c>
      <c r="G36" s="6" t="s">
        <v>76</v>
      </c>
    </row>
    <row r="37" spans="4:7" x14ac:dyDescent="0.4">
      <c r="F37" t="s">
        <v>40</v>
      </c>
      <c r="G37" s="6" t="s">
        <v>77</v>
      </c>
    </row>
    <row r="38" spans="4:7" x14ac:dyDescent="0.4">
      <c r="D38" s="8" t="s">
        <v>52</v>
      </c>
      <c r="E38" s="8" t="s">
        <v>19</v>
      </c>
    </row>
    <row r="39" spans="4:7" x14ac:dyDescent="0.4">
      <c r="D39" s="8" t="s">
        <v>53</v>
      </c>
      <c r="E39" s="8" t="s">
        <v>19</v>
      </c>
    </row>
    <row r="40" spans="4:7" x14ac:dyDescent="0.4">
      <c r="F40" t="s">
        <v>41</v>
      </c>
      <c r="G40" s="6" t="s">
        <v>68</v>
      </c>
    </row>
    <row r="41" spans="4:7" x14ac:dyDescent="0.4">
      <c r="F41" t="s">
        <v>39</v>
      </c>
    </row>
    <row r="42" spans="4:7" x14ac:dyDescent="0.4">
      <c r="F42" t="s">
        <v>40</v>
      </c>
    </row>
    <row r="43" spans="4:7" x14ac:dyDescent="0.4">
      <c r="D43" s="8" t="s">
        <v>54</v>
      </c>
      <c r="E43" s="8" t="s">
        <v>19</v>
      </c>
    </row>
    <row r="44" spans="4:7" x14ac:dyDescent="0.4">
      <c r="D44" s="8" t="s">
        <v>55</v>
      </c>
      <c r="E44" s="8" t="s">
        <v>19</v>
      </c>
    </row>
    <row r="45" spans="4:7" x14ac:dyDescent="0.4">
      <c r="F45" t="s">
        <v>41</v>
      </c>
      <c r="G45" s="6" t="s">
        <v>69</v>
      </c>
    </row>
    <row r="46" spans="4:7" x14ac:dyDescent="0.4">
      <c r="F46" t="s">
        <v>39</v>
      </c>
    </row>
    <row r="47" spans="4:7" x14ac:dyDescent="0.4">
      <c r="F47" t="s">
        <v>40</v>
      </c>
    </row>
    <row r="48" spans="4:7" x14ac:dyDescent="0.4">
      <c r="D48" s="8" t="s">
        <v>26</v>
      </c>
      <c r="E48" s="8" t="s">
        <v>22</v>
      </c>
    </row>
    <row r="49" spans="4:7" x14ac:dyDescent="0.4">
      <c r="D49" s="8" t="s">
        <v>42</v>
      </c>
      <c r="E49" s="8" t="s">
        <v>22</v>
      </c>
    </row>
    <row r="50" spans="4:7" x14ac:dyDescent="0.4">
      <c r="D50" s="8" t="s">
        <v>24</v>
      </c>
      <c r="E50" s="8" t="s">
        <v>23</v>
      </c>
    </row>
    <row r="51" spans="4:7" x14ac:dyDescent="0.4">
      <c r="D51" s="8" t="s">
        <v>31</v>
      </c>
      <c r="E51" s="8" t="s">
        <v>23</v>
      </c>
    </row>
    <row r="52" spans="4:7" x14ac:dyDescent="0.4">
      <c r="D52" s="8" t="s">
        <v>56</v>
      </c>
      <c r="E52" s="8" t="s">
        <v>19</v>
      </c>
    </row>
    <row r="53" spans="4:7" x14ac:dyDescent="0.4">
      <c r="D53" s="8" t="s">
        <v>57</v>
      </c>
      <c r="E53" s="8" t="s">
        <v>19</v>
      </c>
    </row>
    <row r="54" spans="4:7" x14ac:dyDescent="0.4">
      <c r="F54" t="s">
        <v>41</v>
      </c>
      <c r="G54" s="6" t="s">
        <v>70</v>
      </c>
    </row>
    <row r="55" spans="4:7" x14ac:dyDescent="0.4">
      <c r="F55" t="s">
        <v>39</v>
      </c>
    </row>
    <row r="56" spans="4:7" x14ac:dyDescent="0.4">
      <c r="F56" t="s">
        <v>40</v>
      </c>
    </row>
    <row r="57" spans="4:7" x14ac:dyDescent="0.4">
      <c r="F57" t="s">
        <v>45</v>
      </c>
    </row>
    <row r="58" spans="4:7" x14ac:dyDescent="0.4">
      <c r="D58" s="8" t="s">
        <v>28</v>
      </c>
      <c r="E58" s="8" t="s">
        <v>22</v>
      </c>
    </row>
    <row r="59" spans="4:7" x14ac:dyDescent="0.4">
      <c r="D59" s="8" t="s">
        <v>43</v>
      </c>
      <c r="E59" s="8" t="s">
        <v>22</v>
      </c>
    </row>
    <row r="60" spans="4:7" x14ac:dyDescent="0.4">
      <c r="D60" s="8" t="s">
        <v>29</v>
      </c>
      <c r="E60" s="8" t="s">
        <v>23</v>
      </c>
    </row>
    <row r="61" spans="4:7" x14ac:dyDescent="0.4">
      <c r="D61" s="8" t="s">
        <v>58</v>
      </c>
      <c r="E61" s="8" t="s">
        <v>19</v>
      </c>
    </row>
    <row r="62" spans="4:7" x14ac:dyDescent="0.4">
      <c r="D62" s="8" t="s">
        <v>59</v>
      </c>
      <c r="E62" s="8" t="s">
        <v>19</v>
      </c>
    </row>
    <row r="63" spans="4:7" x14ac:dyDescent="0.4">
      <c r="F63" t="s">
        <v>41</v>
      </c>
      <c r="G63" s="6" t="s">
        <v>71</v>
      </c>
    </row>
    <row r="64" spans="4:7" x14ac:dyDescent="0.4">
      <c r="F64" t="s">
        <v>39</v>
      </c>
    </row>
    <row r="65" spans="4:7" x14ac:dyDescent="0.4">
      <c r="F65" t="s">
        <v>40</v>
      </c>
    </row>
    <row r="66" spans="4:7" x14ac:dyDescent="0.4">
      <c r="F66" t="s">
        <v>45</v>
      </c>
    </row>
    <row r="67" spans="4:7" x14ac:dyDescent="0.4">
      <c r="D67" s="8" t="s">
        <v>27</v>
      </c>
      <c r="E67" s="8" t="s">
        <v>22</v>
      </c>
    </row>
    <row r="68" spans="4:7" x14ac:dyDescent="0.4">
      <c r="D68" s="8" t="s">
        <v>44</v>
      </c>
      <c r="E68" s="8" t="s">
        <v>22</v>
      </c>
    </row>
    <row r="69" spans="4:7" x14ac:dyDescent="0.4">
      <c r="D69" s="8" t="s">
        <v>25</v>
      </c>
      <c r="E69" s="8" t="s">
        <v>23</v>
      </c>
    </row>
    <row r="70" spans="4:7" x14ac:dyDescent="0.4">
      <c r="D70" s="8" t="s">
        <v>32</v>
      </c>
      <c r="E70" s="8" t="s">
        <v>23</v>
      </c>
    </row>
    <row r="71" spans="4:7" x14ac:dyDescent="0.4">
      <c r="D71" s="8" t="s">
        <v>60</v>
      </c>
      <c r="E71" s="8" t="s">
        <v>19</v>
      </c>
    </row>
    <row r="72" spans="4:7" x14ac:dyDescent="0.4">
      <c r="D72" s="8" t="s">
        <v>61</v>
      </c>
      <c r="E72" s="8" t="s">
        <v>19</v>
      </c>
    </row>
    <row r="73" spans="4:7" x14ac:dyDescent="0.4">
      <c r="F73" t="s">
        <v>41</v>
      </c>
      <c r="G73" s="6" t="s">
        <v>72</v>
      </c>
    </row>
    <row r="74" spans="4:7" x14ac:dyDescent="0.4">
      <c r="F74" t="s">
        <v>39</v>
      </c>
    </row>
    <row r="75" spans="4:7" x14ac:dyDescent="0.4">
      <c r="F75" t="s">
        <v>40</v>
      </c>
    </row>
    <row r="76" spans="4:7" x14ac:dyDescent="0.4">
      <c r="F76" t="s">
        <v>45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2A1AE-8FEB-48FC-8938-753B28D50BAD}">
  <dimension ref="A1:AA85"/>
  <sheetViews>
    <sheetView zoomScale="90" zoomScaleNormal="90" workbookViewId="0">
      <pane ySplit="3" topLeftCell="A14" activePane="bottomLeft" state="frozen"/>
      <selection pane="bottomLeft" activeCell="G22" sqref="G22"/>
    </sheetView>
  </sheetViews>
  <sheetFormatPr defaultColWidth="5.375" defaultRowHeight="18.75" x14ac:dyDescent="0.4"/>
  <cols>
    <col min="1" max="1" width="7" bestFit="1" customWidth="1"/>
    <col min="2" max="2" width="21.125" bestFit="1" customWidth="1"/>
    <col min="3" max="3" width="22" bestFit="1" customWidth="1"/>
    <col min="4" max="4" width="25.25" bestFit="1" customWidth="1"/>
    <col min="5" max="5" width="9" bestFit="1" customWidth="1"/>
    <col min="6" max="6" width="8.75" bestFit="1" customWidth="1"/>
    <col min="7" max="7" width="7.5" bestFit="1" customWidth="1"/>
    <col min="8" max="8" width="15.5" customWidth="1"/>
    <col min="9" max="9" width="5" bestFit="1" customWidth="1"/>
    <col min="10" max="10" width="2.625" bestFit="1" customWidth="1"/>
    <col min="12" max="12" width="9" style="18" bestFit="1" customWidth="1"/>
    <col min="13" max="13" width="16.25" style="18" bestFit="1" customWidth="1"/>
    <col min="14" max="14" width="13" style="18" bestFit="1" customWidth="1"/>
    <col min="15" max="15" width="15.875" style="18" bestFit="1" customWidth="1"/>
    <col min="16" max="16" width="4.75" style="18" bestFit="1" customWidth="1"/>
    <col min="17" max="17" width="11" style="18" bestFit="1" customWidth="1"/>
    <col min="18" max="19" width="5.375" style="18" bestFit="1" customWidth="1"/>
    <col min="20" max="20" width="10.125" style="18" bestFit="1" customWidth="1"/>
    <col min="21" max="21" width="8" style="19" bestFit="1" customWidth="1"/>
    <col min="22" max="23" width="11" style="18" customWidth="1"/>
    <col min="24" max="24" width="11" style="19" customWidth="1"/>
    <col min="25" max="27" width="11" style="18" customWidth="1"/>
    <col min="28" max="31" width="11.75" bestFit="1" customWidth="1"/>
    <col min="32" max="32" width="10.625" bestFit="1" customWidth="1"/>
  </cols>
  <sheetData>
    <row r="1" spans="1:25" x14ac:dyDescent="0.4">
      <c r="B1" t="s">
        <v>102</v>
      </c>
    </row>
    <row r="2" spans="1:25" x14ac:dyDescent="0.4">
      <c r="B2" t="s">
        <v>81</v>
      </c>
    </row>
    <row r="3" spans="1:25" x14ac:dyDescent="0.4">
      <c r="A3" t="s">
        <v>284</v>
      </c>
      <c r="B3" t="s">
        <v>276</v>
      </c>
      <c r="C3" t="s">
        <v>269</v>
      </c>
      <c r="D3" t="s">
        <v>277</v>
      </c>
      <c r="L3" s="18" t="s">
        <v>297</v>
      </c>
      <c r="N3" s="18" t="s">
        <v>301</v>
      </c>
      <c r="O3" s="18" t="s">
        <v>302</v>
      </c>
      <c r="P3" s="18" t="s">
        <v>303</v>
      </c>
      <c r="Q3" s="18" t="s">
        <v>299</v>
      </c>
      <c r="R3" s="18" t="s">
        <v>302</v>
      </c>
      <c r="S3" s="18" t="s">
        <v>303</v>
      </c>
      <c r="T3" s="18" t="s">
        <v>338</v>
      </c>
      <c r="U3" s="19" t="s">
        <v>337</v>
      </c>
    </row>
    <row r="4" spans="1:25" x14ac:dyDescent="0.4">
      <c r="B4" t="s">
        <v>278</v>
      </c>
      <c r="C4" t="s">
        <v>279</v>
      </c>
      <c r="D4">
        <v>1</v>
      </c>
      <c r="X4" s="18"/>
      <c r="Y4" s="20"/>
    </row>
    <row r="6" spans="1:25" x14ac:dyDescent="0.4">
      <c r="C6" t="s">
        <v>293</v>
      </c>
    </row>
    <row r="7" spans="1:25" x14ac:dyDescent="0.4">
      <c r="C7" t="s">
        <v>294</v>
      </c>
    </row>
    <row r="8" spans="1:25" x14ac:dyDescent="0.4">
      <c r="C8" t="s">
        <v>295</v>
      </c>
    </row>
    <row r="9" spans="1:25" x14ac:dyDescent="0.4">
      <c r="C9" t="s">
        <v>296</v>
      </c>
      <c r="X9" s="18"/>
      <c r="Y9" s="19"/>
    </row>
    <row r="10" spans="1:25" x14ac:dyDescent="0.4">
      <c r="X10" s="18"/>
      <c r="Y10" s="20"/>
    </row>
    <row r="13" spans="1:25" x14ac:dyDescent="0.4">
      <c r="A13" t="s">
        <v>266</v>
      </c>
      <c r="B13" t="s">
        <v>268</v>
      </c>
      <c r="C13" s="17" t="s">
        <v>269</v>
      </c>
      <c r="D13" t="s">
        <v>275</v>
      </c>
      <c r="L13" s="18" t="s">
        <v>297</v>
      </c>
    </row>
    <row r="14" spans="1:25" x14ac:dyDescent="0.4">
      <c r="B14" t="s">
        <v>271</v>
      </c>
      <c r="C14" t="s">
        <v>270</v>
      </c>
      <c r="D14">
        <v>1</v>
      </c>
    </row>
    <row r="16" spans="1:25" x14ac:dyDescent="0.4">
      <c r="B16" t="s">
        <v>268</v>
      </c>
      <c r="C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275</v>
      </c>
      <c r="L16" s="18" t="s">
        <v>298</v>
      </c>
      <c r="X16" s="18"/>
      <c r="Y16" s="19"/>
    </row>
    <row r="17" spans="2:25" x14ac:dyDescent="0.4">
      <c r="B17" t="s">
        <v>271</v>
      </c>
      <c r="C17" s="11" t="s">
        <v>215</v>
      </c>
      <c r="D17" t="s">
        <v>216</v>
      </c>
      <c r="E17" t="s">
        <v>217</v>
      </c>
      <c r="F17" t="str">
        <f>"true"</f>
        <v>true</v>
      </c>
      <c r="G17" t="s">
        <v>267</v>
      </c>
      <c r="H17" t="s">
        <v>267</v>
      </c>
      <c r="I17">
        <v>1</v>
      </c>
      <c r="J17">
        <f t="shared" ref="J17:J41" si="0">COUNTIF($D:$D,D17)</f>
        <v>1</v>
      </c>
      <c r="N17" s="18" t="s">
        <v>300</v>
      </c>
      <c r="Q17" s="18" t="s">
        <v>304</v>
      </c>
      <c r="R17" s="18" t="s">
        <v>314</v>
      </c>
      <c r="S17" s="18" t="s">
        <v>315</v>
      </c>
      <c r="X17" s="18"/>
      <c r="Y17" s="19"/>
    </row>
    <row r="18" spans="2:25" x14ac:dyDescent="0.4">
      <c r="B18" t="s">
        <v>271</v>
      </c>
      <c r="C18" s="11" t="s">
        <v>218</v>
      </c>
      <c r="D18" t="s">
        <v>219</v>
      </c>
      <c r="E18" t="s">
        <v>220</v>
      </c>
      <c r="F18" t="str">
        <f>"false"</f>
        <v>false</v>
      </c>
      <c r="G18" t="str">
        <f>"false"</f>
        <v>false</v>
      </c>
      <c r="H18" t="s">
        <v>267</v>
      </c>
      <c r="I18">
        <v>2</v>
      </c>
      <c r="J18">
        <f t="shared" si="0"/>
        <v>1</v>
      </c>
      <c r="Q18" s="18" t="s">
        <v>305</v>
      </c>
      <c r="R18" s="18" t="s">
        <v>319</v>
      </c>
      <c r="S18" s="18" t="s">
        <v>316</v>
      </c>
      <c r="X18" s="18"/>
      <c r="Y18" s="19"/>
    </row>
    <row r="19" spans="2:25" x14ac:dyDescent="0.4">
      <c r="B19" t="s">
        <v>271</v>
      </c>
      <c r="C19" t="s">
        <v>221</v>
      </c>
      <c r="D19" t="s">
        <v>222</v>
      </c>
      <c r="E19" t="s">
        <v>223</v>
      </c>
      <c r="F19" t="str">
        <f t="shared" ref="F19:F21" si="1">"false"</f>
        <v>false</v>
      </c>
      <c r="G19">
        <v>0</v>
      </c>
      <c r="H19" t="s">
        <v>219</v>
      </c>
      <c r="I19">
        <v>3</v>
      </c>
      <c r="J19">
        <f t="shared" si="0"/>
        <v>1</v>
      </c>
      <c r="Q19" s="18" t="s">
        <v>306</v>
      </c>
      <c r="R19" s="18" t="s">
        <v>317</v>
      </c>
      <c r="S19" s="18" t="s">
        <v>318</v>
      </c>
      <c r="X19" s="18"/>
      <c r="Y19" s="19"/>
    </row>
    <row r="20" spans="2:25" x14ac:dyDescent="0.4">
      <c r="B20" t="s">
        <v>271</v>
      </c>
      <c r="C20" s="11" t="s">
        <v>224</v>
      </c>
      <c r="D20" t="s">
        <v>108</v>
      </c>
      <c r="E20" t="s">
        <v>220</v>
      </c>
      <c r="F20" t="str">
        <f t="shared" si="1"/>
        <v>false</v>
      </c>
      <c r="G20" t="str">
        <f>"true"</f>
        <v>true</v>
      </c>
      <c r="H20" t="s">
        <v>267</v>
      </c>
      <c r="I20">
        <v>4</v>
      </c>
      <c r="J20">
        <f t="shared" si="0"/>
        <v>1</v>
      </c>
      <c r="Q20" s="18" t="s">
        <v>307</v>
      </c>
      <c r="R20" s="18" t="s">
        <v>320</v>
      </c>
      <c r="S20" s="18" t="s">
        <v>321</v>
      </c>
      <c r="X20" s="18"/>
      <c r="Y20" s="19"/>
    </row>
    <row r="21" spans="2:25" x14ac:dyDescent="0.4">
      <c r="B21" t="s">
        <v>271</v>
      </c>
      <c r="C21" t="s">
        <v>225</v>
      </c>
      <c r="D21" t="s">
        <v>109</v>
      </c>
      <c r="E21" t="s">
        <v>223</v>
      </c>
      <c r="F21" t="str">
        <f t="shared" si="1"/>
        <v>false</v>
      </c>
      <c r="G21">
        <v>3</v>
      </c>
      <c r="H21" t="s">
        <v>108</v>
      </c>
      <c r="I21">
        <v>5</v>
      </c>
      <c r="J21">
        <f t="shared" si="0"/>
        <v>1</v>
      </c>
      <c r="Q21" s="18" t="s">
        <v>308</v>
      </c>
      <c r="R21" s="18" t="s">
        <v>322</v>
      </c>
      <c r="S21" s="18" t="s">
        <v>323</v>
      </c>
      <c r="X21" s="18"/>
      <c r="Y21" s="19"/>
    </row>
    <row r="22" spans="2:25" x14ac:dyDescent="0.4">
      <c r="B22" t="s">
        <v>271</v>
      </c>
      <c r="C22" s="11" t="s">
        <v>226</v>
      </c>
      <c r="D22" t="s">
        <v>227</v>
      </c>
      <c r="E22" t="s">
        <v>220</v>
      </c>
      <c r="F22" t="str">
        <f>"true"</f>
        <v>true</v>
      </c>
      <c r="G22" t="str">
        <f>"true"</f>
        <v>true</v>
      </c>
      <c r="H22" t="s">
        <v>267</v>
      </c>
      <c r="I22">
        <v>6</v>
      </c>
      <c r="J22">
        <f t="shared" si="0"/>
        <v>1</v>
      </c>
      <c r="X22" s="18"/>
      <c r="Y22" s="19"/>
    </row>
    <row r="23" spans="2:25" x14ac:dyDescent="0.4">
      <c r="B23" t="s">
        <v>271</v>
      </c>
      <c r="C23" t="s">
        <v>228</v>
      </c>
      <c r="D23" t="s">
        <v>229</v>
      </c>
      <c r="E23" t="s">
        <v>220</v>
      </c>
      <c r="F23" t="str">
        <f t="shared" ref="F23:G26" si="2">"false"</f>
        <v>false</v>
      </c>
      <c r="G23" t="str">
        <f t="shared" si="2"/>
        <v>false</v>
      </c>
      <c r="H23" t="s">
        <v>227</v>
      </c>
      <c r="I23">
        <v>7</v>
      </c>
      <c r="J23">
        <f t="shared" si="0"/>
        <v>1</v>
      </c>
      <c r="N23" s="18" t="s">
        <v>309</v>
      </c>
      <c r="Q23" s="18" t="s">
        <v>304</v>
      </c>
      <c r="R23" s="18" t="s">
        <v>314</v>
      </c>
      <c r="S23" s="18" t="s">
        <v>315</v>
      </c>
      <c r="X23" s="18"/>
      <c r="Y23" s="19"/>
    </row>
    <row r="24" spans="2:25" x14ac:dyDescent="0.4">
      <c r="B24" t="s">
        <v>271</v>
      </c>
      <c r="C24" t="s">
        <v>230</v>
      </c>
      <c r="D24" t="s">
        <v>231</v>
      </c>
      <c r="E24" t="s">
        <v>220</v>
      </c>
      <c r="F24" t="str">
        <f t="shared" si="2"/>
        <v>false</v>
      </c>
      <c r="G24" t="str">
        <f t="shared" si="2"/>
        <v>false</v>
      </c>
      <c r="H24" t="s">
        <v>227</v>
      </c>
      <c r="I24">
        <v>8</v>
      </c>
      <c r="J24">
        <f t="shared" si="0"/>
        <v>1</v>
      </c>
      <c r="Q24" s="18" t="s">
        <v>305</v>
      </c>
      <c r="R24" s="18" t="s">
        <v>319</v>
      </c>
      <c r="S24" s="18" t="s">
        <v>316</v>
      </c>
      <c r="X24" s="18"/>
      <c r="Y24" s="19"/>
    </row>
    <row r="25" spans="2:25" x14ac:dyDescent="0.4">
      <c r="B25" t="s">
        <v>271</v>
      </c>
      <c r="C25" t="s">
        <v>232</v>
      </c>
      <c r="D25" t="s">
        <v>233</v>
      </c>
      <c r="E25" t="s">
        <v>223</v>
      </c>
      <c r="F25" t="str">
        <f t="shared" si="2"/>
        <v>false</v>
      </c>
      <c r="G25">
        <v>0</v>
      </c>
      <c r="H25" t="s">
        <v>227</v>
      </c>
      <c r="I25">
        <v>9</v>
      </c>
      <c r="J25">
        <f t="shared" si="0"/>
        <v>1</v>
      </c>
      <c r="Q25" s="18" t="s">
        <v>306</v>
      </c>
      <c r="R25" s="18" t="s">
        <v>317</v>
      </c>
      <c r="S25" s="18" t="s">
        <v>318</v>
      </c>
      <c r="X25" s="18"/>
      <c r="Y25" s="19"/>
    </row>
    <row r="26" spans="2:25" x14ac:dyDescent="0.4">
      <c r="B26" t="s">
        <v>271</v>
      </c>
      <c r="C26" t="s">
        <v>234</v>
      </c>
      <c r="D26" t="s">
        <v>235</v>
      </c>
      <c r="E26" t="s">
        <v>223</v>
      </c>
      <c r="F26" t="str">
        <f t="shared" si="2"/>
        <v>false</v>
      </c>
      <c r="G26">
        <v>0</v>
      </c>
      <c r="H26" t="s">
        <v>227</v>
      </c>
      <c r="I26">
        <v>10</v>
      </c>
      <c r="J26">
        <f t="shared" si="0"/>
        <v>1</v>
      </c>
      <c r="Q26" s="18" t="s">
        <v>307</v>
      </c>
      <c r="R26" s="18" t="s">
        <v>320</v>
      </c>
      <c r="S26" s="18" t="s">
        <v>321</v>
      </c>
      <c r="X26" s="18"/>
      <c r="Y26" s="19"/>
    </row>
    <row r="27" spans="2:25" x14ac:dyDescent="0.4">
      <c r="B27" t="s">
        <v>271</v>
      </c>
      <c r="C27" s="11" t="s">
        <v>236</v>
      </c>
      <c r="D27" t="s">
        <v>237</v>
      </c>
      <c r="E27" t="s">
        <v>220</v>
      </c>
      <c r="F27" t="str">
        <f>"true"</f>
        <v>true</v>
      </c>
      <c r="G27" t="str">
        <f>"false"</f>
        <v>false</v>
      </c>
      <c r="H27" t="s">
        <v>267</v>
      </c>
      <c r="I27">
        <v>11</v>
      </c>
      <c r="J27">
        <f t="shared" si="0"/>
        <v>1</v>
      </c>
      <c r="Q27" s="18" t="s">
        <v>308</v>
      </c>
      <c r="R27" s="18" t="s">
        <v>322</v>
      </c>
      <c r="S27" s="18" t="s">
        <v>323</v>
      </c>
      <c r="X27" s="18"/>
      <c r="Y27" s="19"/>
    </row>
    <row r="28" spans="2:25" x14ac:dyDescent="0.4">
      <c r="B28" t="s">
        <v>271</v>
      </c>
      <c r="C28" t="s">
        <v>238</v>
      </c>
      <c r="D28" t="s">
        <v>274</v>
      </c>
      <c r="E28" t="s">
        <v>223</v>
      </c>
      <c r="F28" t="str">
        <f t="shared" ref="F28:F31" si="3">"false"</f>
        <v>false</v>
      </c>
      <c r="G28">
        <v>0</v>
      </c>
      <c r="H28" t="s">
        <v>237</v>
      </c>
      <c r="I28">
        <v>12</v>
      </c>
      <c r="J28">
        <f t="shared" si="0"/>
        <v>1</v>
      </c>
      <c r="X28" s="18"/>
      <c r="Y28" s="19"/>
    </row>
    <row r="29" spans="2:25" x14ac:dyDescent="0.4">
      <c r="B29" t="s">
        <v>271</v>
      </c>
      <c r="C29" t="s">
        <v>230</v>
      </c>
      <c r="D29" t="s">
        <v>240</v>
      </c>
      <c r="E29" t="s">
        <v>220</v>
      </c>
      <c r="F29" t="str">
        <f t="shared" si="3"/>
        <v>false</v>
      </c>
      <c r="G29" t="str">
        <f>"false"</f>
        <v>false</v>
      </c>
      <c r="H29" t="s">
        <v>237</v>
      </c>
      <c r="I29">
        <v>13</v>
      </c>
      <c r="J29">
        <f t="shared" si="0"/>
        <v>1</v>
      </c>
      <c r="N29" s="18" t="s">
        <v>310</v>
      </c>
      <c r="Q29" s="18" t="s">
        <v>312</v>
      </c>
      <c r="R29" s="18" t="s">
        <v>324</v>
      </c>
      <c r="S29" s="18" t="s">
        <v>315</v>
      </c>
      <c r="T29" s="18" t="s">
        <v>327</v>
      </c>
      <c r="X29" s="18"/>
      <c r="Y29" s="19"/>
    </row>
    <row r="30" spans="2:25" x14ac:dyDescent="0.4">
      <c r="B30" t="s">
        <v>271</v>
      </c>
      <c r="C30" t="s">
        <v>232</v>
      </c>
      <c r="D30" t="s">
        <v>239</v>
      </c>
      <c r="E30" t="s">
        <v>223</v>
      </c>
      <c r="F30" t="str">
        <f t="shared" si="3"/>
        <v>false</v>
      </c>
      <c r="G30">
        <v>0</v>
      </c>
      <c r="H30" t="s">
        <v>237</v>
      </c>
      <c r="I30">
        <v>14</v>
      </c>
      <c r="J30">
        <f t="shared" si="0"/>
        <v>1</v>
      </c>
      <c r="Q30" s="18" t="s">
        <v>325</v>
      </c>
      <c r="R30" s="18" t="s">
        <v>324</v>
      </c>
      <c r="S30" s="18" t="s">
        <v>315</v>
      </c>
      <c r="T30" s="18" t="s">
        <v>326</v>
      </c>
      <c r="X30" s="18"/>
      <c r="Y30" s="19"/>
    </row>
    <row r="31" spans="2:25" x14ac:dyDescent="0.4">
      <c r="B31" t="s">
        <v>271</v>
      </c>
      <c r="C31" t="s">
        <v>234</v>
      </c>
      <c r="D31" t="s">
        <v>241</v>
      </c>
      <c r="E31" t="s">
        <v>223</v>
      </c>
      <c r="F31" t="str">
        <f t="shared" si="3"/>
        <v>false</v>
      </c>
      <c r="G31">
        <v>0</v>
      </c>
      <c r="H31" t="s">
        <v>237</v>
      </c>
      <c r="I31">
        <v>15</v>
      </c>
      <c r="J31">
        <f t="shared" si="0"/>
        <v>1</v>
      </c>
      <c r="X31" s="18"/>
      <c r="Y31" s="19"/>
    </row>
    <row r="32" spans="2:25" x14ac:dyDescent="0.4">
      <c r="B32" t="s">
        <v>271</v>
      </c>
      <c r="C32" s="11" t="s">
        <v>242</v>
      </c>
      <c r="D32" t="s">
        <v>243</v>
      </c>
      <c r="E32" t="s">
        <v>220</v>
      </c>
      <c r="F32" t="str">
        <f>"true"</f>
        <v>true</v>
      </c>
      <c r="G32" t="str">
        <f t="shared" ref="G32:G34" si="4">"false"</f>
        <v>false</v>
      </c>
      <c r="H32" t="s">
        <v>267</v>
      </c>
      <c r="I32">
        <v>16</v>
      </c>
      <c r="J32">
        <f t="shared" si="0"/>
        <v>1</v>
      </c>
      <c r="X32" s="18"/>
      <c r="Y32" s="19"/>
    </row>
    <row r="33" spans="2:25" x14ac:dyDescent="0.4">
      <c r="B33" t="s">
        <v>271</v>
      </c>
      <c r="C33" t="s">
        <v>228</v>
      </c>
      <c r="D33" t="s">
        <v>244</v>
      </c>
      <c r="E33" t="s">
        <v>220</v>
      </c>
      <c r="F33" t="str">
        <f t="shared" ref="F33:F36" si="5">"false"</f>
        <v>false</v>
      </c>
      <c r="G33" t="str">
        <f t="shared" si="4"/>
        <v>false</v>
      </c>
      <c r="H33" t="s">
        <v>243</v>
      </c>
      <c r="I33">
        <v>17</v>
      </c>
      <c r="J33">
        <f t="shared" si="0"/>
        <v>1</v>
      </c>
      <c r="X33" s="18"/>
      <c r="Y33" s="19"/>
    </row>
    <row r="34" spans="2:25" x14ac:dyDescent="0.4">
      <c r="B34" t="s">
        <v>271</v>
      </c>
      <c r="C34" t="s">
        <v>230</v>
      </c>
      <c r="D34" t="s">
        <v>245</v>
      </c>
      <c r="E34" t="s">
        <v>220</v>
      </c>
      <c r="F34" t="str">
        <f t="shared" si="5"/>
        <v>false</v>
      </c>
      <c r="G34" t="str">
        <f t="shared" si="4"/>
        <v>false</v>
      </c>
      <c r="H34" t="s">
        <v>243</v>
      </c>
      <c r="I34">
        <v>18</v>
      </c>
      <c r="J34">
        <f t="shared" si="0"/>
        <v>1</v>
      </c>
      <c r="N34" s="18" t="s">
        <v>313</v>
      </c>
      <c r="Q34" s="18" t="s">
        <v>311</v>
      </c>
      <c r="R34" s="18" t="s">
        <v>319</v>
      </c>
      <c r="S34" s="18" t="s">
        <v>319</v>
      </c>
      <c r="T34" s="18" t="s">
        <v>327</v>
      </c>
      <c r="X34" s="18"/>
      <c r="Y34" s="19"/>
    </row>
    <row r="35" spans="2:25" x14ac:dyDescent="0.4">
      <c r="B35" t="s">
        <v>271</v>
      </c>
      <c r="C35" t="s">
        <v>232</v>
      </c>
      <c r="D35" t="s">
        <v>246</v>
      </c>
      <c r="E35" t="s">
        <v>223</v>
      </c>
      <c r="F35" t="str">
        <f t="shared" si="5"/>
        <v>false</v>
      </c>
      <c r="G35">
        <v>0</v>
      </c>
      <c r="H35" t="s">
        <v>243</v>
      </c>
      <c r="I35">
        <v>19</v>
      </c>
      <c r="J35">
        <f t="shared" si="0"/>
        <v>1</v>
      </c>
      <c r="X35" s="18"/>
      <c r="Y35" s="19"/>
    </row>
    <row r="36" spans="2:25" x14ac:dyDescent="0.4">
      <c r="B36" t="s">
        <v>271</v>
      </c>
      <c r="C36" t="s">
        <v>234</v>
      </c>
      <c r="D36" t="s">
        <v>247</v>
      </c>
      <c r="E36" t="s">
        <v>223</v>
      </c>
      <c r="F36" t="str">
        <f t="shared" si="5"/>
        <v>false</v>
      </c>
      <c r="G36">
        <v>0</v>
      </c>
      <c r="H36" t="s">
        <v>243</v>
      </c>
      <c r="I36">
        <v>20</v>
      </c>
      <c r="J36">
        <f t="shared" si="0"/>
        <v>1</v>
      </c>
      <c r="N36" s="18" t="s">
        <v>341</v>
      </c>
      <c r="X36" s="18"/>
      <c r="Y36" s="19"/>
    </row>
    <row r="37" spans="2:25" x14ac:dyDescent="0.4">
      <c r="B37" t="s">
        <v>271</v>
      </c>
      <c r="C37" s="11" t="s">
        <v>248</v>
      </c>
      <c r="D37" t="s">
        <v>249</v>
      </c>
      <c r="E37" t="s">
        <v>220</v>
      </c>
      <c r="F37" t="str">
        <f>"true"</f>
        <v>true</v>
      </c>
      <c r="G37" t="str">
        <f>"true"</f>
        <v>true</v>
      </c>
      <c r="H37" t="s">
        <v>267</v>
      </c>
      <c r="I37">
        <v>21</v>
      </c>
      <c r="J37">
        <f t="shared" si="0"/>
        <v>1</v>
      </c>
      <c r="X37" s="18"/>
      <c r="Y37" s="19"/>
    </row>
    <row r="38" spans="2:25" x14ac:dyDescent="0.4">
      <c r="B38" t="s">
        <v>271</v>
      </c>
      <c r="C38" t="s">
        <v>228</v>
      </c>
      <c r="D38" t="s">
        <v>250</v>
      </c>
      <c r="E38" t="s">
        <v>220</v>
      </c>
      <c r="F38" t="str">
        <f t="shared" ref="F38:G41" si="6">"false"</f>
        <v>false</v>
      </c>
      <c r="G38" t="str">
        <f t="shared" si="6"/>
        <v>false</v>
      </c>
      <c r="H38" t="s">
        <v>249</v>
      </c>
      <c r="I38">
        <v>22</v>
      </c>
      <c r="J38">
        <f t="shared" si="0"/>
        <v>1</v>
      </c>
      <c r="N38" s="18" t="s">
        <v>342</v>
      </c>
      <c r="X38" s="18"/>
      <c r="Y38" s="19"/>
    </row>
    <row r="39" spans="2:25" x14ac:dyDescent="0.4">
      <c r="B39" t="s">
        <v>271</v>
      </c>
      <c r="C39" t="s">
        <v>230</v>
      </c>
      <c r="D39" t="s">
        <v>251</v>
      </c>
      <c r="E39" t="s">
        <v>220</v>
      </c>
      <c r="F39" t="str">
        <f t="shared" si="6"/>
        <v>false</v>
      </c>
      <c r="G39" t="str">
        <f t="shared" si="6"/>
        <v>false</v>
      </c>
      <c r="H39" t="s">
        <v>249</v>
      </c>
      <c r="I39">
        <v>23</v>
      </c>
      <c r="J39">
        <f t="shared" si="0"/>
        <v>1</v>
      </c>
      <c r="X39" s="18"/>
      <c r="Y39" s="19"/>
    </row>
    <row r="40" spans="2:25" x14ac:dyDescent="0.4">
      <c r="B40" t="s">
        <v>271</v>
      </c>
      <c r="C40" t="s">
        <v>232</v>
      </c>
      <c r="D40" t="s">
        <v>252</v>
      </c>
      <c r="E40" t="s">
        <v>223</v>
      </c>
      <c r="F40" t="str">
        <f t="shared" si="6"/>
        <v>false</v>
      </c>
      <c r="G40">
        <v>0</v>
      </c>
      <c r="H40" t="s">
        <v>249</v>
      </c>
      <c r="I40">
        <v>24</v>
      </c>
      <c r="J40">
        <f t="shared" si="0"/>
        <v>1</v>
      </c>
      <c r="X40" s="18"/>
      <c r="Y40" s="19"/>
    </row>
    <row r="41" spans="2:25" x14ac:dyDescent="0.4">
      <c r="B41" t="s">
        <v>271</v>
      </c>
      <c r="C41" t="s">
        <v>234</v>
      </c>
      <c r="D41" t="s">
        <v>253</v>
      </c>
      <c r="E41" t="s">
        <v>223</v>
      </c>
      <c r="F41" t="str">
        <f t="shared" si="6"/>
        <v>false</v>
      </c>
      <c r="G41">
        <v>0</v>
      </c>
      <c r="H41" t="s">
        <v>249</v>
      </c>
      <c r="I41">
        <v>25</v>
      </c>
      <c r="J41">
        <f t="shared" si="0"/>
        <v>1</v>
      </c>
      <c r="X41" s="18"/>
      <c r="Y41" s="19"/>
    </row>
    <row r="42" spans="2:25" x14ac:dyDescent="0.4">
      <c r="X42" s="18"/>
      <c r="Y42" s="19"/>
    </row>
    <row r="43" spans="2:25" x14ac:dyDescent="0.4">
      <c r="X43" s="18"/>
      <c r="Y43" s="19"/>
    </row>
    <row r="44" spans="2:25" x14ac:dyDescent="0.4">
      <c r="X44" s="18"/>
      <c r="Y44" s="19"/>
    </row>
    <row r="45" spans="2:25" x14ac:dyDescent="0.4">
      <c r="X45" s="18"/>
      <c r="Y45" s="19"/>
    </row>
    <row r="46" spans="2:25" x14ac:dyDescent="0.4">
      <c r="X46" s="18"/>
      <c r="Y46" s="19"/>
    </row>
    <row r="47" spans="2:25" x14ac:dyDescent="0.4">
      <c r="X47" s="18"/>
      <c r="Y47" s="19"/>
    </row>
    <row r="48" spans="2:25" x14ac:dyDescent="0.4">
      <c r="X48" s="18"/>
      <c r="Y48" s="19"/>
    </row>
    <row r="49" spans="1:25" x14ac:dyDescent="0.4">
      <c r="X49" s="18"/>
      <c r="Y49" s="19"/>
    </row>
    <row r="50" spans="1:25" x14ac:dyDescent="0.4">
      <c r="X50" s="18"/>
      <c r="Y50" s="19"/>
    </row>
    <row r="51" spans="1:25" x14ac:dyDescent="0.4">
      <c r="X51" s="18"/>
      <c r="Y51" s="19"/>
    </row>
    <row r="52" spans="1:25" x14ac:dyDescent="0.4">
      <c r="A52" t="s">
        <v>208</v>
      </c>
      <c r="B52" t="s">
        <v>268</v>
      </c>
      <c r="C52" s="17" t="s">
        <v>269</v>
      </c>
      <c r="D52" t="s">
        <v>275</v>
      </c>
      <c r="X52" s="18"/>
      <c r="Y52" s="19"/>
    </row>
    <row r="53" spans="1:25" x14ac:dyDescent="0.4">
      <c r="B53" t="s">
        <v>272</v>
      </c>
      <c r="C53" t="s">
        <v>273</v>
      </c>
      <c r="D53">
        <v>1</v>
      </c>
    </row>
    <row r="54" spans="1:25" x14ac:dyDescent="0.4">
      <c r="N54" s="18" t="s">
        <v>335</v>
      </c>
      <c r="O54" t="s">
        <v>261</v>
      </c>
      <c r="P54" s="18" t="s">
        <v>333</v>
      </c>
    </row>
    <row r="55" spans="1:25" x14ac:dyDescent="0.4">
      <c r="B55" t="s">
        <v>268</v>
      </c>
      <c r="C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275</v>
      </c>
      <c r="M55" t="s">
        <v>334</v>
      </c>
      <c r="Q55" s="18" t="s">
        <v>331</v>
      </c>
      <c r="R55" s="18" t="s">
        <v>333</v>
      </c>
      <c r="S55" s="18" t="s">
        <v>333</v>
      </c>
      <c r="T55" s="18" t="s">
        <v>340</v>
      </c>
      <c r="U55" s="19">
        <v>150000</v>
      </c>
    </row>
    <row r="56" spans="1:25" x14ac:dyDescent="0.4">
      <c r="B56" t="s">
        <v>272</v>
      </c>
      <c r="C56" t="s">
        <v>260</v>
      </c>
      <c r="D56" t="s">
        <v>261</v>
      </c>
      <c r="E56" t="s">
        <v>217</v>
      </c>
      <c r="F56" t="str">
        <f>"true"</f>
        <v>true</v>
      </c>
      <c r="G56" t="s">
        <v>267</v>
      </c>
      <c r="H56" t="s">
        <v>267</v>
      </c>
      <c r="I56">
        <v>1</v>
      </c>
      <c r="J56">
        <f t="shared" ref="J56:J62" si="7">COUNTIF($D:$D,D56)</f>
        <v>1</v>
      </c>
    </row>
    <row r="57" spans="1:25" x14ac:dyDescent="0.4">
      <c r="B57" t="s">
        <v>272</v>
      </c>
      <c r="C57" s="11" t="s">
        <v>254</v>
      </c>
      <c r="D57" t="s">
        <v>255</v>
      </c>
      <c r="E57" t="s">
        <v>220</v>
      </c>
      <c r="F57" t="str">
        <f t="shared" ref="F57:F62" si="8">"false"</f>
        <v>false</v>
      </c>
      <c r="G57" t="str">
        <f>"false"</f>
        <v>false</v>
      </c>
      <c r="H57" t="s">
        <v>267</v>
      </c>
      <c r="I57">
        <v>2</v>
      </c>
      <c r="J57">
        <f t="shared" si="7"/>
        <v>1</v>
      </c>
      <c r="M57" t="s">
        <v>334</v>
      </c>
      <c r="Q57" s="18" t="s">
        <v>332</v>
      </c>
      <c r="R57" s="18" t="s">
        <v>333</v>
      </c>
      <c r="S57" s="18" t="s">
        <v>333</v>
      </c>
      <c r="U57" s="19">
        <v>10000</v>
      </c>
    </row>
    <row r="58" spans="1:25" x14ac:dyDescent="0.4">
      <c r="B58" t="s">
        <v>272</v>
      </c>
      <c r="C58" t="s">
        <v>256</v>
      </c>
      <c r="D58" t="s">
        <v>257</v>
      </c>
      <c r="E58" t="s">
        <v>217</v>
      </c>
      <c r="F58" t="str">
        <f t="shared" si="8"/>
        <v>false</v>
      </c>
      <c r="G58" t="s">
        <v>267</v>
      </c>
      <c r="H58" t="s">
        <v>255</v>
      </c>
      <c r="I58">
        <v>3</v>
      </c>
      <c r="J58">
        <f t="shared" si="7"/>
        <v>1</v>
      </c>
    </row>
    <row r="59" spans="1:25" x14ac:dyDescent="0.4">
      <c r="B59" t="s">
        <v>272</v>
      </c>
      <c r="C59" s="11" t="s">
        <v>258</v>
      </c>
      <c r="D59" t="s">
        <v>339</v>
      </c>
      <c r="E59" t="s">
        <v>220</v>
      </c>
      <c r="F59" t="str">
        <f t="shared" si="8"/>
        <v>false</v>
      </c>
      <c r="G59" t="str">
        <f>"false"</f>
        <v>false</v>
      </c>
      <c r="H59" t="s">
        <v>267</v>
      </c>
      <c r="I59">
        <v>4</v>
      </c>
      <c r="J59">
        <f t="shared" si="7"/>
        <v>1</v>
      </c>
      <c r="Q59" s="18" t="s">
        <v>336</v>
      </c>
      <c r="R59" s="18" t="s">
        <v>267</v>
      </c>
      <c r="S59" s="18" t="s">
        <v>267</v>
      </c>
      <c r="T59" s="18" t="s">
        <v>326</v>
      </c>
    </row>
    <row r="60" spans="1:25" x14ac:dyDescent="0.4">
      <c r="B60" t="s">
        <v>272</v>
      </c>
      <c r="C60" t="s">
        <v>330</v>
      </c>
      <c r="D60" t="s">
        <v>263</v>
      </c>
      <c r="E60" t="s">
        <v>223</v>
      </c>
      <c r="F60" t="str">
        <f t="shared" si="8"/>
        <v>false</v>
      </c>
      <c r="G60">
        <v>0</v>
      </c>
      <c r="H60" t="s">
        <v>259</v>
      </c>
      <c r="I60">
        <v>5</v>
      </c>
      <c r="J60">
        <f t="shared" si="7"/>
        <v>1</v>
      </c>
    </row>
    <row r="61" spans="1:25" x14ac:dyDescent="0.4">
      <c r="B61" t="s">
        <v>272</v>
      </c>
      <c r="C61" t="s">
        <v>264</v>
      </c>
      <c r="D61" t="s">
        <v>265</v>
      </c>
      <c r="E61" t="s">
        <v>223</v>
      </c>
      <c r="F61" t="str">
        <f t="shared" si="8"/>
        <v>false</v>
      </c>
      <c r="G61">
        <v>0</v>
      </c>
      <c r="H61" t="s">
        <v>259</v>
      </c>
      <c r="I61">
        <v>6</v>
      </c>
      <c r="J61">
        <f t="shared" si="7"/>
        <v>1</v>
      </c>
    </row>
    <row r="62" spans="1:25" x14ac:dyDescent="0.4">
      <c r="B62" t="s">
        <v>272</v>
      </c>
      <c r="C62" t="s">
        <v>329</v>
      </c>
      <c r="D62" t="s">
        <v>328</v>
      </c>
      <c r="E62" t="s">
        <v>217</v>
      </c>
      <c r="F62" t="str">
        <f t="shared" si="8"/>
        <v>false</v>
      </c>
      <c r="G62" t="s">
        <v>267</v>
      </c>
      <c r="H62" t="s">
        <v>259</v>
      </c>
      <c r="I62">
        <v>7</v>
      </c>
      <c r="J62">
        <f t="shared" si="7"/>
        <v>1</v>
      </c>
    </row>
    <row r="66" spans="1:4" x14ac:dyDescent="0.4">
      <c r="A66" t="s">
        <v>285</v>
      </c>
      <c r="B66" t="s">
        <v>276</v>
      </c>
      <c r="C66" t="s">
        <v>269</v>
      </c>
      <c r="D66" t="s">
        <v>277</v>
      </c>
    </row>
    <row r="67" spans="1:4" x14ac:dyDescent="0.4">
      <c r="B67" t="s">
        <v>280</v>
      </c>
      <c r="C67" t="s">
        <v>281</v>
      </c>
      <c r="D67">
        <v>4</v>
      </c>
    </row>
    <row r="69" spans="1:4" x14ac:dyDescent="0.4">
      <c r="C69" t="s">
        <v>287</v>
      </c>
    </row>
    <row r="70" spans="1:4" x14ac:dyDescent="0.4">
      <c r="C70" t="s">
        <v>288</v>
      </c>
    </row>
    <row r="71" spans="1:4" x14ac:dyDescent="0.4">
      <c r="C71" t="s">
        <v>289</v>
      </c>
    </row>
    <row r="72" spans="1:4" x14ac:dyDescent="0.4">
      <c r="C72" t="s">
        <v>290</v>
      </c>
    </row>
    <row r="73" spans="1:4" x14ac:dyDescent="0.4">
      <c r="C73" t="s">
        <v>291</v>
      </c>
    </row>
    <row r="74" spans="1:4" x14ac:dyDescent="0.4">
      <c r="C74" t="s">
        <v>292</v>
      </c>
    </row>
    <row r="78" spans="1:4" x14ac:dyDescent="0.4">
      <c r="A78" s="21" t="s">
        <v>343</v>
      </c>
      <c r="B78" t="s">
        <v>276</v>
      </c>
      <c r="C78" t="s">
        <v>269</v>
      </c>
      <c r="D78" t="s">
        <v>277</v>
      </c>
    </row>
    <row r="79" spans="1:4" x14ac:dyDescent="0.4">
      <c r="B79" t="s">
        <v>345</v>
      </c>
      <c r="C79" t="s">
        <v>344</v>
      </c>
      <c r="D79">
        <v>5</v>
      </c>
    </row>
    <row r="84" spans="1:4" x14ac:dyDescent="0.4">
      <c r="A84" t="s">
        <v>286</v>
      </c>
      <c r="B84" t="s">
        <v>276</v>
      </c>
      <c r="C84" t="s">
        <v>269</v>
      </c>
      <c r="D84" t="s">
        <v>277</v>
      </c>
    </row>
    <row r="85" spans="1:4" x14ac:dyDescent="0.4">
      <c r="B85" t="s">
        <v>282</v>
      </c>
      <c r="C85" t="s">
        <v>283</v>
      </c>
      <c r="D85">
        <v>6</v>
      </c>
    </row>
  </sheetData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4A480-D2B7-4433-A538-70DE296E1FB6}">
  <dimension ref="A1:W70"/>
  <sheetViews>
    <sheetView topLeftCell="D1" zoomScale="90" zoomScaleNormal="90" workbookViewId="0">
      <pane ySplit="3" topLeftCell="A4" activePane="bottomLeft" state="frozen"/>
      <selection pane="bottomLeft" activeCell="L28" sqref="L28"/>
    </sheetView>
  </sheetViews>
  <sheetFormatPr defaultColWidth="5.375" defaultRowHeight="18.75" x14ac:dyDescent="0.4"/>
  <cols>
    <col min="1" max="1" width="7" bestFit="1" customWidth="1"/>
    <col min="2" max="2" width="22" bestFit="1" customWidth="1"/>
    <col min="3" max="3" width="20.25" bestFit="1" customWidth="1"/>
    <col min="4" max="4" width="25.25" bestFit="1" customWidth="1"/>
    <col min="5" max="5" width="9" bestFit="1" customWidth="1"/>
    <col min="6" max="6" width="8.75" bestFit="1" customWidth="1"/>
    <col min="7" max="7" width="7.5" bestFit="1" customWidth="1"/>
    <col min="8" max="8" width="15.5" customWidth="1"/>
    <col min="9" max="9" width="5" bestFit="1" customWidth="1"/>
    <col min="12" max="12" width="10.875" bestFit="1" customWidth="1"/>
    <col min="13" max="13" width="13.875" bestFit="1" customWidth="1"/>
    <col min="14" max="14" width="17.75" bestFit="1" customWidth="1"/>
    <col min="15" max="15" width="9" bestFit="1" customWidth="1"/>
    <col min="16" max="16" width="5.625" bestFit="1" customWidth="1"/>
    <col min="17" max="17" width="19.125" bestFit="1" customWidth="1"/>
    <col min="18" max="18" width="13.75" bestFit="1" customWidth="1"/>
    <col min="19" max="19" width="30.125" bestFit="1" customWidth="1"/>
    <col min="20" max="20" width="9.625" style="12" bestFit="1" customWidth="1"/>
    <col min="21" max="21" width="12.625" bestFit="1" customWidth="1"/>
    <col min="22" max="22" width="16.375" bestFit="1" customWidth="1"/>
    <col min="23" max="23" width="18.625" bestFit="1" customWidth="1"/>
    <col min="24" max="27" width="11.75" bestFit="1" customWidth="1"/>
    <col min="28" max="28" width="10.625" bestFit="1" customWidth="1"/>
  </cols>
  <sheetData>
    <row r="1" spans="1:23" x14ac:dyDescent="0.4">
      <c r="B1" t="s">
        <v>102</v>
      </c>
      <c r="L1" t="s">
        <v>103</v>
      </c>
      <c r="Q1" t="s">
        <v>104</v>
      </c>
    </row>
    <row r="2" spans="1:23" x14ac:dyDescent="0.4">
      <c r="B2" t="s">
        <v>81</v>
      </c>
      <c r="L2" s="22" t="s">
        <v>90</v>
      </c>
      <c r="M2" s="22"/>
      <c r="N2" s="22"/>
      <c r="O2" s="22"/>
      <c r="Q2" t="s">
        <v>86</v>
      </c>
    </row>
    <row r="3" spans="1:23" x14ac:dyDescent="0.4">
      <c r="A3" t="s">
        <v>284</v>
      </c>
      <c r="B3" t="s">
        <v>276</v>
      </c>
      <c r="C3" t="s">
        <v>269</v>
      </c>
      <c r="D3" t="s">
        <v>277</v>
      </c>
      <c r="L3" t="s">
        <v>84</v>
      </c>
      <c r="M3" t="s">
        <v>82</v>
      </c>
      <c r="N3" t="s">
        <v>107</v>
      </c>
      <c r="O3" t="s">
        <v>105</v>
      </c>
      <c r="Q3" t="s">
        <v>133</v>
      </c>
      <c r="R3" t="s">
        <v>84</v>
      </c>
      <c r="S3" t="s">
        <v>82</v>
      </c>
      <c r="T3" s="12" t="s">
        <v>123</v>
      </c>
      <c r="U3" t="s">
        <v>134</v>
      </c>
    </row>
    <row r="4" spans="1:23" x14ac:dyDescent="0.4">
      <c r="B4" t="s">
        <v>278</v>
      </c>
      <c r="C4" t="s">
        <v>279</v>
      </c>
      <c r="D4">
        <v>1</v>
      </c>
      <c r="L4" t="s">
        <v>106</v>
      </c>
      <c r="M4" t="s">
        <v>85</v>
      </c>
      <c r="N4" t="b">
        <v>0</v>
      </c>
      <c r="O4" t="s">
        <v>85</v>
      </c>
      <c r="Q4" t="s">
        <v>125</v>
      </c>
      <c r="R4" t="s">
        <v>147</v>
      </c>
      <c r="S4" t="s">
        <v>147</v>
      </c>
      <c r="T4" t="s">
        <v>147</v>
      </c>
      <c r="U4" s="13" t="s">
        <v>146</v>
      </c>
      <c r="V4" t="s">
        <v>138</v>
      </c>
    </row>
    <row r="5" spans="1:23" x14ac:dyDescent="0.4">
      <c r="L5" t="s">
        <v>87</v>
      </c>
      <c r="M5" t="s">
        <v>96</v>
      </c>
      <c r="N5" t="b">
        <v>1</v>
      </c>
      <c r="O5" t="s">
        <v>85</v>
      </c>
      <c r="R5" t="s">
        <v>124</v>
      </c>
      <c r="S5" t="s">
        <v>116</v>
      </c>
      <c r="T5" s="12">
        <v>-1000</v>
      </c>
      <c r="U5" t="s">
        <v>144</v>
      </c>
      <c r="V5" t="s">
        <v>136</v>
      </c>
      <c r="W5" t="s">
        <v>137</v>
      </c>
    </row>
    <row r="6" spans="1:23" x14ac:dyDescent="0.4">
      <c r="C6" t="s">
        <v>293</v>
      </c>
      <c r="L6" t="s">
        <v>88</v>
      </c>
      <c r="M6" t="s">
        <v>97</v>
      </c>
      <c r="N6" t="b">
        <v>1</v>
      </c>
      <c r="O6" t="s">
        <v>85</v>
      </c>
      <c r="R6" t="s">
        <v>126</v>
      </c>
      <c r="S6" t="s">
        <v>117</v>
      </c>
      <c r="T6" s="12">
        <v>-3000</v>
      </c>
      <c r="U6" t="s">
        <v>144</v>
      </c>
      <c r="V6" t="s">
        <v>139</v>
      </c>
      <c r="W6" t="s">
        <v>140</v>
      </c>
    </row>
    <row r="7" spans="1:23" x14ac:dyDescent="0.4">
      <c r="C7" t="s">
        <v>294</v>
      </c>
      <c r="M7" t="s">
        <v>98</v>
      </c>
      <c r="N7" t="s">
        <v>99</v>
      </c>
      <c r="O7" t="b">
        <v>1</v>
      </c>
      <c r="P7" t="s">
        <v>85</v>
      </c>
      <c r="R7" t="s">
        <v>127</v>
      </c>
      <c r="S7" t="s">
        <v>118</v>
      </c>
      <c r="T7" s="12">
        <v>-5000</v>
      </c>
      <c r="U7" t="s">
        <v>144</v>
      </c>
      <c r="V7" t="s">
        <v>141</v>
      </c>
      <c r="W7" t="s">
        <v>142</v>
      </c>
    </row>
    <row r="8" spans="1:23" x14ac:dyDescent="0.4">
      <c r="C8" t="s">
        <v>295</v>
      </c>
      <c r="M8" t="s">
        <v>89</v>
      </c>
      <c r="N8" t="s">
        <v>110</v>
      </c>
      <c r="O8" t="b">
        <v>1</v>
      </c>
      <c r="P8" t="s">
        <v>85</v>
      </c>
      <c r="R8" t="s">
        <v>128</v>
      </c>
      <c r="S8" t="s">
        <v>119</v>
      </c>
      <c r="T8" s="12">
        <v>-10000</v>
      </c>
      <c r="U8" t="s">
        <v>145</v>
      </c>
      <c r="V8" t="s">
        <v>143</v>
      </c>
    </row>
    <row r="9" spans="1:23" x14ac:dyDescent="0.4">
      <c r="C9" t="s">
        <v>296</v>
      </c>
      <c r="M9" t="s">
        <v>91</v>
      </c>
      <c r="N9" t="s">
        <v>111</v>
      </c>
      <c r="O9" t="b">
        <v>0</v>
      </c>
      <c r="P9" t="s">
        <v>85</v>
      </c>
      <c r="T9"/>
      <c r="U9" s="12"/>
    </row>
    <row r="10" spans="1:23" x14ac:dyDescent="0.4">
      <c r="M10" t="s">
        <v>92</v>
      </c>
      <c r="N10" t="s">
        <v>112</v>
      </c>
      <c r="O10" t="b">
        <v>0</v>
      </c>
      <c r="P10" t="s">
        <v>85</v>
      </c>
      <c r="Q10" t="s">
        <v>130</v>
      </c>
      <c r="R10" t="s">
        <v>147</v>
      </c>
      <c r="S10" t="s">
        <v>147</v>
      </c>
      <c r="T10" t="s">
        <v>147</v>
      </c>
      <c r="U10" s="13" t="s">
        <v>146</v>
      </c>
      <c r="V10" t="s">
        <v>152</v>
      </c>
    </row>
    <row r="11" spans="1:23" x14ac:dyDescent="0.4">
      <c r="M11" t="s">
        <v>100</v>
      </c>
      <c r="N11" t="s">
        <v>101</v>
      </c>
      <c r="O11" t="b">
        <v>1</v>
      </c>
      <c r="P11" t="s">
        <v>85</v>
      </c>
      <c r="R11" t="s">
        <v>129</v>
      </c>
      <c r="S11" t="s">
        <v>170</v>
      </c>
      <c r="T11" s="12">
        <v>15000</v>
      </c>
      <c r="U11" t="s">
        <v>144</v>
      </c>
      <c r="V11" t="s">
        <v>136</v>
      </c>
      <c r="W11" t="s">
        <v>148</v>
      </c>
    </row>
    <row r="12" spans="1:23" x14ac:dyDescent="0.4">
      <c r="M12" t="s">
        <v>93</v>
      </c>
      <c r="N12" t="s">
        <v>113</v>
      </c>
      <c r="O12" t="b">
        <v>1</v>
      </c>
      <c r="P12" t="s">
        <v>85</v>
      </c>
      <c r="R12" t="s">
        <v>131</v>
      </c>
      <c r="S12" t="s">
        <v>120</v>
      </c>
      <c r="T12" s="12">
        <v>10000</v>
      </c>
      <c r="U12" t="s">
        <v>144</v>
      </c>
      <c r="V12" t="s">
        <v>148</v>
      </c>
      <c r="W12" t="s">
        <v>149</v>
      </c>
    </row>
    <row r="13" spans="1:23" x14ac:dyDescent="0.4">
      <c r="A13" t="s">
        <v>266</v>
      </c>
      <c r="B13" t="s">
        <v>268</v>
      </c>
      <c r="C13" s="17" t="s">
        <v>269</v>
      </c>
      <c r="D13" t="s">
        <v>275</v>
      </c>
      <c r="M13" t="s">
        <v>94</v>
      </c>
      <c r="N13" t="s">
        <v>114</v>
      </c>
      <c r="O13" t="b">
        <v>0</v>
      </c>
      <c r="P13" t="s">
        <v>85</v>
      </c>
      <c r="R13" t="s">
        <v>132</v>
      </c>
      <c r="S13" t="s">
        <v>121</v>
      </c>
      <c r="T13" s="12">
        <v>10000</v>
      </c>
      <c r="U13" t="s">
        <v>151</v>
      </c>
      <c r="V13" t="s">
        <v>150</v>
      </c>
    </row>
    <row r="14" spans="1:23" x14ac:dyDescent="0.4">
      <c r="B14" t="s">
        <v>271</v>
      </c>
      <c r="C14" t="s">
        <v>270</v>
      </c>
      <c r="D14">
        <v>1</v>
      </c>
      <c r="M14" t="s">
        <v>95</v>
      </c>
      <c r="N14" t="s">
        <v>115</v>
      </c>
      <c r="O14" t="b">
        <v>0</v>
      </c>
      <c r="P14" t="s">
        <v>85</v>
      </c>
    </row>
    <row r="15" spans="1:23" x14ac:dyDescent="0.4">
      <c r="Q15" t="s">
        <v>122</v>
      </c>
    </row>
    <row r="16" spans="1:23" x14ac:dyDescent="0.4">
      <c r="B16" t="s">
        <v>268</v>
      </c>
      <c r="C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275</v>
      </c>
      <c r="T16"/>
      <c r="U16" s="12"/>
    </row>
    <row r="17" spans="2:21" x14ac:dyDescent="0.4">
      <c r="B17" t="s">
        <v>271</v>
      </c>
      <c r="C17" s="11" t="s">
        <v>215</v>
      </c>
      <c r="D17" t="s">
        <v>216</v>
      </c>
      <c r="E17" t="s">
        <v>217</v>
      </c>
      <c r="F17" t="str">
        <f>"true"</f>
        <v>true</v>
      </c>
      <c r="G17" t="s">
        <v>267</v>
      </c>
      <c r="H17" t="s">
        <v>267</v>
      </c>
      <c r="I17">
        <v>1</v>
      </c>
      <c r="J17">
        <f t="shared" ref="J17:J41" si="0">COUNTIF($D:$D,D17)</f>
        <v>1</v>
      </c>
      <c r="T17"/>
      <c r="U17" s="12"/>
    </row>
    <row r="18" spans="2:21" x14ac:dyDescent="0.4">
      <c r="B18" t="s">
        <v>271</v>
      </c>
      <c r="C18" s="11" t="s">
        <v>218</v>
      </c>
      <c r="D18" t="s">
        <v>219</v>
      </c>
      <c r="E18" t="s">
        <v>220</v>
      </c>
      <c r="F18" t="str">
        <f>"false"</f>
        <v>false</v>
      </c>
      <c r="G18" t="str">
        <f>"false"</f>
        <v>false</v>
      </c>
      <c r="H18" t="s">
        <v>267</v>
      </c>
      <c r="I18">
        <v>2</v>
      </c>
      <c r="J18">
        <f t="shared" si="0"/>
        <v>1</v>
      </c>
      <c r="T18"/>
      <c r="U18" s="12"/>
    </row>
    <row r="19" spans="2:21" x14ac:dyDescent="0.4">
      <c r="B19" t="s">
        <v>271</v>
      </c>
      <c r="C19" t="s">
        <v>221</v>
      </c>
      <c r="D19" t="s">
        <v>222</v>
      </c>
      <c r="E19" t="s">
        <v>223</v>
      </c>
      <c r="F19" t="str">
        <f t="shared" ref="F19:F21" si="1">"false"</f>
        <v>false</v>
      </c>
      <c r="G19">
        <v>0</v>
      </c>
      <c r="H19" t="s">
        <v>219</v>
      </c>
      <c r="I19">
        <v>3</v>
      </c>
      <c r="J19">
        <f t="shared" si="0"/>
        <v>1</v>
      </c>
      <c r="T19"/>
      <c r="U19" s="12"/>
    </row>
    <row r="20" spans="2:21" x14ac:dyDescent="0.4">
      <c r="B20" t="s">
        <v>271</v>
      </c>
      <c r="C20" s="11" t="s">
        <v>224</v>
      </c>
      <c r="D20" t="s">
        <v>108</v>
      </c>
      <c r="E20" t="s">
        <v>220</v>
      </c>
      <c r="F20" t="str">
        <f t="shared" si="1"/>
        <v>false</v>
      </c>
      <c r="G20" t="str">
        <f>"true"</f>
        <v>true</v>
      </c>
      <c r="H20" t="s">
        <v>267</v>
      </c>
      <c r="I20">
        <v>4</v>
      </c>
      <c r="J20">
        <f t="shared" si="0"/>
        <v>1</v>
      </c>
      <c r="T20"/>
      <c r="U20" s="12"/>
    </row>
    <row r="21" spans="2:21" x14ac:dyDescent="0.4">
      <c r="B21" t="s">
        <v>271</v>
      </c>
      <c r="C21" t="s">
        <v>225</v>
      </c>
      <c r="D21" t="s">
        <v>109</v>
      </c>
      <c r="E21" t="s">
        <v>223</v>
      </c>
      <c r="F21" t="str">
        <f t="shared" si="1"/>
        <v>false</v>
      </c>
      <c r="G21">
        <v>0</v>
      </c>
      <c r="H21" t="s">
        <v>108</v>
      </c>
      <c r="I21">
        <v>5</v>
      </c>
      <c r="J21">
        <f t="shared" si="0"/>
        <v>1</v>
      </c>
      <c r="T21"/>
      <c r="U21" s="12"/>
    </row>
    <row r="22" spans="2:21" x14ac:dyDescent="0.4">
      <c r="B22" t="s">
        <v>271</v>
      </c>
      <c r="C22" s="11" t="s">
        <v>226</v>
      </c>
      <c r="D22" t="s">
        <v>227</v>
      </c>
      <c r="E22" t="s">
        <v>220</v>
      </c>
      <c r="F22" t="str">
        <f>"true"</f>
        <v>true</v>
      </c>
      <c r="G22" t="str">
        <f>"true"</f>
        <v>true</v>
      </c>
      <c r="H22" t="s">
        <v>267</v>
      </c>
      <c r="I22">
        <v>6</v>
      </c>
      <c r="J22">
        <f t="shared" si="0"/>
        <v>1</v>
      </c>
      <c r="T22"/>
      <c r="U22" s="12"/>
    </row>
    <row r="23" spans="2:21" x14ac:dyDescent="0.4">
      <c r="B23" t="s">
        <v>271</v>
      </c>
      <c r="C23" t="s">
        <v>228</v>
      </c>
      <c r="D23" t="s">
        <v>229</v>
      </c>
      <c r="E23" t="s">
        <v>220</v>
      </c>
      <c r="F23" t="str">
        <f t="shared" ref="F23:G26" si="2">"false"</f>
        <v>false</v>
      </c>
      <c r="G23" t="str">
        <f t="shared" si="2"/>
        <v>false</v>
      </c>
      <c r="H23" t="s">
        <v>227</v>
      </c>
      <c r="I23">
        <v>7</v>
      </c>
      <c r="J23">
        <f t="shared" si="0"/>
        <v>1</v>
      </c>
      <c r="T23"/>
      <c r="U23" s="12"/>
    </row>
    <row r="24" spans="2:21" x14ac:dyDescent="0.4">
      <c r="B24" t="s">
        <v>271</v>
      </c>
      <c r="C24" t="s">
        <v>230</v>
      </c>
      <c r="D24" t="s">
        <v>231</v>
      </c>
      <c r="E24" t="s">
        <v>220</v>
      </c>
      <c r="F24" t="str">
        <f t="shared" si="2"/>
        <v>false</v>
      </c>
      <c r="G24" t="str">
        <f t="shared" si="2"/>
        <v>false</v>
      </c>
      <c r="H24" t="s">
        <v>227</v>
      </c>
      <c r="I24">
        <v>8</v>
      </c>
      <c r="J24">
        <f t="shared" si="0"/>
        <v>1</v>
      </c>
      <c r="T24"/>
      <c r="U24" s="12"/>
    </row>
    <row r="25" spans="2:21" x14ac:dyDescent="0.4">
      <c r="B25" t="s">
        <v>271</v>
      </c>
      <c r="C25" t="s">
        <v>232</v>
      </c>
      <c r="D25" t="s">
        <v>233</v>
      </c>
      <c r="E25" t="s">
        <v>223</v>
      </c>
      <c r="F25" t="str">
        <f t="shared" si="2"/>
        <v>false</v>
      </c>
      <c r="G25">
        <v>0</v>
      </c>
      <c r="H25" t="s">
        <v>227</v>
      </c>
      <c r="I25">
        <v>9</v>
      </c>
      <c r="J25">
        <f t="shared" si="0"/>
        <v>1</v>
      </c>
      <c r="T25"/>
      <c r="U25" s="12"/>
    </row>
    <row r="26" spans="2:21" x14ac:dyDescent="0.4">
      <c r="B26" t="s">
        <v>271</v>
      </c>
      <c r="C26" t="s">
        <v>234</v>
      </c>
      <c r="D26" t="s">
        <v>235</v>
      </c>
      <c r="E26" t="s">
        <v>223</v>
      </c>
      <c r="F26" t="str">
        <f t="shared" si="2"/>
        <v>false</v>
      </c>
      <c r="G26">
        <v>0</v>
      </c>
      <c r="H26" t="s">
        <v>227</v>
      </c>
      <c r="I26">
        <v>10</v>
      </c>
      <c r="J26">
        <f t="shared" si="0"/>
        <v>1</v>
      </c>
      <c r="T26"/>
      <c r="U26" s="12"/>
    </row>
    <row r="27" spans="2:21" x14ac:dyDescent="0.4">
      <c r="B27" t="s">
        <v>271</v>
      </c>
      <c r="C27" s="11" t="s">
        <v>236</v>
      </c>
      <c r="D27" t="s">
        <v>237</v>
      </c>
      <c r="E27" t="s">
        <v>220</v>
      </c>
      <c r="F27" t="str">
        <f>"true"</f>
        <v>true</v>
      </c>
      <c r="G27" t="str">
        <f>"false"</f>
        <v>false</v>
      </c>
      <c r="H27" t="s">
        <v>267</v>
      </c>
      <c r="I27">
        <v>11</v>
      </c>
      <c r="J27">
        <f t="shared" si="0"/>
        <v>1</v>
      </c>
      <c r="T27"/>
      <c r="U27" s="12"/>
    </row>
    <row r="28" spans="2:21" x14ac:dyDescent="0.4">
      <c r="B28" t="s">
        <v>271</v>
      </c>
      <c r="C28" t="s">
        <v>238</v>
      </c>
      <c r="D28" t="s">
        <v>274</v>
      </c>
      <c r="E28" t="s">
        <v>223</v>
      </c>
      <c r="F28" t="str">
        <f t="shared" ref="F28:F31" si="3">"false"</f>
        <v>false</v>
      </c>
      <c r="G28">
        <v>0</v>
      </c>
      <c r="H28" t="s">
        <v>237</v>
      </c>
      <c r="I28">
        <v>12</v>
      </c>
      <c r="J28">
        <f t="shared" si="0"/>
        <v>1</v>
      </c>
      <c r="T28"/>
      <c r="U28" s="12"/>
    </row>
    <row r="29" spans="2:21" x14ac:dyDescent="0.4">
      <c r="B29" t="s">
        <v>271</v>
      </c>
      <c r="C29" t="s">
        <v>230</v>
      </c>
      <c r="D29" t="s">
        <v>240</v>
      </c>
      <c r="E29" t="s">
        <v>220</v>
      </c>
      <c r="F29" t="str">
        <f t="shared" si="3"/>
        <v>false</v>
      </c>
      <c r="G29" t="str">
        <f>"false"</f>
        <v>false</v>
      </c>
      <c r="H29" t="s">
        <v>237</v>
      </c>
      <c r="I29">
        <v>13</v>
      </c>
      <c r="J29">
        <f t="shared" si="0"/>
        <v>1</v>
      </c>
      <c r="T29"/>
      <c r="U29" s="12"/>
    </row>
    <row r="30" spans="2:21" x14ac:dyDescent="0.4">
      <c r="B30" t="s">
        <v>271</v>
      </c>
      <c r="C30" t="s">
        <v>232</v>
      </c>
      <c r="D30" t="s">
        <v>239</v>
      </c>
      <c r="E30" t="s">
        <v>223</v>
      </c>
      <c r="F30" t="str">
        <f t="shared" si="3"/>
        <v>false</v>
      </c>
      <c r="G30">
        <v>0</v>
      </c>
      <c r="H30" t="s">
        <v>237</v>
      </c>
      <c r="I30">
        <v>14</v>
      </c>
      <c r="J30">
        <f t="shared" si="0"/>
        <v>1</v>
      </c>
      <c r="T30"/>
      <c r="U30" s="12"/>
    </row>
    <row r="31" spans="2:21" x14ac:dyDescent="0.4">
      <c r="B31" t="s">
        <v>271</v>
      </c>
      <c r="C31" t="s">
        <v>234</v>
      </c>
      <c r="D31" t="s">
        <v>241</v>
      </c>
      <c r="E31" t="s">
        <v>223</v>
      </c>
      <c r="F31" t="str">
        <f t="shared" si="3"/>
        <v>false</v>
      </c>
      <c r="G31">
        <v>0</v>
      </c>
      <c r="H31" t="s">
        <v>237</v>
      </c>
      <c r="I31">
        <v>15</v>
      </c>
      <c r="J31">
        <f t="shared" si="0"/>
        <v>1</v>
      </c>
      <c r="T31"/>
      <c r="U31" s="12"/>
    </row>
    <row r="32" spans="2:21" x14ac:dyDescent="0.4">
      <c r="B32" t="s">
        <v>271</v>
      </c>
      <c r="C32" s="11" t="s">
        <v>242</v>
      </c>
      <c r="D32" t="s">
        <v>243</v>
      </c>
      <c r="E32" t="s">
        <v>220</v>
      </c>
      <c r="F32" t="str">
        <f>"true"</f>
        <v>true</v>
      </c>
      <c r="G32" t="str">
        <f t="shared" ref="G32:G34" si="4">"false"</f>
        <v>false</v>
      </c>
      <c r="H32" t="s">
        <v>267</v>
      </c>
      <c r="I32">
        <v>16</v>
      </c>
      <c r="J32">
        <f t="shared" si="0"/>
        <v>1</v>
      </c>
      <c r="T32"/>
      <c r="U32" s="12"/>
    </row>
    <row r="33" spans="1:21" x14ac:dyDescent="0.4">
      <c r="B33" t="s">
        <v>271</v>
      </c>
      <c r="C33" t="s">
        <v>228</v>
      </c>
      <c r="D33" t="s">
        <v>244</v>
      </c>
      <c r="E33" t="s">
        <v>220</v>
      </c>
      <c r="F33" t="str">
        <f t="shared" ref="F33:F36" si="5">"false"</f>
        <v>false</v>
      </c>
      <c r="G33" t="str">
        <f t="shared" si="4"/>
        <v>false</v>
      </c>
      <c r="H33" t="s">
        <v>243</v>
      </c>
      <c r="I33">
        <v>17</v>
      </c>
      <c r="J33">
        <f t="shared" si="0"/>
        <v>1</v>
      </c>
      <c r="T33"/>
      <c r="U33" s="12"/>
    </row>
    <row r="34" spans="1:21" x14ac:dyDescent="0.4">
      <c r="B34" t="s">
        <v>271</v>
      </c>
      <c r="C34" t="s">
        <v>230</v>
      </c>
      <c r="D34" t="s">
        <v>245</v>
      </c>
      <c r="E34" t="s">
        <v>220</v>
      </c>
      <c r="F34" t="str">
        <f t="shared" si="5"/>
        <v>false</v>
      </c>
      <c r="G34" t="str">
        <f t="shared" si="4"/>
        <v>false</v>
      </c>
      <c r="H34" t="s">
        <v>243</v>
      </c>
      <c r="I34">
        <v>18</v>
      </c>
      <c r="J34">
        <f t="shared" si="0"/>
        <v>1</v>
      </c>
      <c r="T34"/>
      <c r="U34" s="12"/>
    </row>
    <row r="35" spans="1:21" x14ac:dyDescent="0.4">
      <c r="B35" t="s">
        <v>271</v>
      </c>
      <c r="C35" t="s">
        <v>232</v>
      </c>
      <c r="D35" t="s">
        <v>246</v>
      </c>
      <c r="E35" t="s">
        <v>223</v>
      </c>
      <c r="F35" t="str">
        <f t="shared" si="5"/>
        <v>false</v>
      </c>
      <c r="G35">
        <v>0</v>
      </c>
      <c r="H35" t="s">
        <v>243</v>
      </c>
      <c r="I35">
        <v>19</v>
      </c>
      <c r="J35">
        <f t="shared" si="0"/>
        <v>1</v>
      </c>
      <c r="T35"/>
      <c r="U35" s="12"/>
    </row>
    <row r="36" spans="1:21" x14ac:dyDescent="0.4">
      <c r="B36" t="s">
        <v>271</v>
      </c>
      <c r="C36" t="s">
        <v>234</v>
      </c>
      <c r="D36" t="s">
        <v>247</v>
      </c>
      <c r="E36" t="s">
        <v>223</v>
      </c>
      <c r="F36" t="str">
        <f t="shared" si="5"/>
        <v>false</v>
      </c>
      <c r="G36">
        <v>0</v>
      </c>
      <c r="H36" t="s">
        <v>243</v>
      </c>
      <c r="I36">
        <v>20</v>
      </c>
      <c r="J36">
        <f t="shared" si="0"/>
        <v>1</v>
      </c>
      <c r="T36"/>
      <c r="U36" s="12"/>
    </row>
    <row r="37" spans="1:21" x14ac:dyDescent="0.4">
      <c r="B37" t="s">
        <v>271</v>
      </c>
      <c r="C37" s="11" t="s">
        <v>248</v>
      </c>
      <c r="D37" t="s">
        <v>249</v>
      </c>
      <c r="E37" t="s">
        <v>220</v>
      </c>
      <c r="F37" t="str">
        <f>"true"</f>
        <v>true</v>
      </c>
      <c r="G37" t="str">
        <f>"true"</f>
        <v>true</v>
      </c>
      <c r="H37" t="s">
        <v>267</v>
      </c>
      <c r="I37">
        <v>21</v>
      </c>
      <c r="J37">
        <f t="shared" si="0"/>
        <v>1</v>
      </c>
      <c r="T37"/>
      <c r="U37" s="12"/>
    </row>
    <row r="38" spans="1:21" x14ac:dyDescent="0.4">
      <c r="B38" t="s">
        <v>271</v>
      </c>
      <c r="C38" t="s">
        <v>228</v>
      </c>
      <c r="D38" t="s">
        <v>250</v>
      </c>
      <c r="E38" t="s">
        <v>220</v>
      </c>
      <c r="F38" t="str">
        <f t="shared" ref="F38:G41" si="6">"false"</f>
        <v>false</v>
      </c>
      <c r="G38" t="str">
        <f t="shared" si="6"/>
        <v>false</v>
      </c>
      <c r="H38" t="s">
        <v>249</v>
      </c>
      <c r="I38">
        <v>22</v>
      </c>
      <c r="J38">
        <f t="shared" si="0"/>
        <v>1</v>
      </c>
      <c r="T38"/>
      <c r="U38" s="12"/>
    </row>
    <row r="39" spans="1:21" x14ac:dyDescent="0.4">
      <c r="B39" t="s">
        <v>271</v>
      </c>
      <c r="C39" t="s">
        <v>230</v>
      </c>
      <c r="D39" t="s">
        <v>251</v>
      </c>
      <c r="E39" t="s">
        <v>220</v>
      </c>
      <c r="F39" t="str">
        <f t="shared" si="6"/>
        <v>false</v>
      </c>
      <c r="G39" t="str">
        <f t="shared" si="6"/>
        <v>false</v>
      </c>
      <c r="H39" t="s">
        <v>249</v>
      </c>
      <c r="I39">
        <v>23</v>
      </c>
      <c r="J39">
        <f t="shared" si="0"/>
        <v>1</v>
      </c>
      <c r="T39"/>
      <c r="U39" s="12"/>
    </row>
    <row r="40" spans="1:21" x14ac:dyDescent="0.4">
      <c r="B40" t="s">
        <v>271</v>
      </c>
      <c r="C40" t="s">
        <v>232</v>
      </c>
      <c r="D40" t="s">
        <v>252</v>
      </c>
      <c r="E40" t="s">
        <v>223</v>
      </c>
      <c r="F40" t="str">
        <f t="shared" si="6"/>
        <v>false</v>
      </c>
      <c r="G40">
        <v>0</v>
      </c>
      <c r="H40" t="s">
        <v>249</v>
      </c>
      <c r="I40">
        <v>24</v>
      </c>
      <c r="J40">
        <f t="shared" si="0"/>
        <v>1</v>
      </c>
      <c r="T40"/>
      <c r="U40" s="12"/>
    </row>
    <row r="41" spans="1:21" x14ac:dyDescent="0.4">
      <c r="B41" t="s">
        <v>271</v>
      </c>
      <c r="C41" t="s">
        <v>234</v>
      </c>
      <c r="D41" t="s">
        <v>253</v>
      </c>
      <c r="E41" t="s">
        <v>223</v>
      </c>
      <c r="F41" t="str">
        <f t="shared" si="6"/>
        <v>false</v>
      </c>
      <c r="G41">
        <v>0</v>
      </c>
      <c r="H41" t="s">
        <v>249</v>
      </c>
      <c r="I41">
        <v>25</v>
      </c>
      <c r="J41">
        <f t="shared" si="0"/>
        <v>1</v>
      </c>
      <c r="T41"/>
      <c r="U41" s="12"/>
    </row>
    <row r="42" spans="1:21" x14ac:dyDescent="0.4">
      <c r="T42"/>
      <c r="U42" s="12"/>
    </row>
    <row r="43" spans="1:21" x14ac:dyDescent="0.4">
      <c r="A43" t="s">
        <v>208</v>
      </c>
      <c r="B43" t="s">
        <v>268</v>
      </c>
      <c r="C43" s="17" t="s">
        <v>269</v>
      </c>
      <c r="D43" t="s">
        <v>275</v>
      </c>
      <c r="T43"/>
      <c r="U43" s="12"/>
    </row>
    <row r="44" spans="1:21" x14ac:dyDescent="0.4">
      <c r="B44" t="s">
        <v>272</v>
      </c>
      <c r="C44" t="s">
        <v>273</v>
      </c>
      <c r="D44">
        <v>1</v>
      </c>
    </row>
    <row r="46" spans="1:21" x14ac:dyDescent="0.4">
      <c r="B46" t="s">
        <v>268</v>
      </c>
      <c r="C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275</v>
      </c>
    </row>
    <row r="47" spans="1:21" x14ac:dyDescent="0.4">
      <c r="B47" t="s">
        <v>272</v>
      </c>
      <c r="C47" s="11" t="s">
        <v>254</v>
      </c>
      <c r="D47" t="s">
        <v>255</v>
      </c>
      <c r="E47" t="s">
        <v>220</v>
      </c>
      <c r="F47" t="str">
        <f t="shared" ref="F47:F52" si="7">"false"</f>
        <v>false</v>
      </c>
      <c r="G47" t="str">
        <f>"false"</f>
        <v>false</v>
      </c>
      <c r="H47" t="s">
        <v>267</v>
      </c>
      <c r="I47">
        <v>1</v>
      </c>
      <c r="J47">
        <f t="shared" ref="J47:J52" si="8">COUNTIF($D:$D,D47)</f>
        <v>1</v>
      </c>
    </row>
    <row r="48" spans="1:21" x14ac:dyDescent="0.4">
      <c r="B48" t="s">
        <v>272</v>
      </c>
      <c r="C48" t="s">
        <v>256</v>
      </c>
      <c r="D48" t="s">
        <v>257</v>
      </c>
      <c r="E48" t="s">
        <v>217</v>
      </c>
      <c r="F48" t="str">
        <f t="shared" si="7"/>
        <v>false</v>
      </c>
      <c r="G48" t="s">
        <v>267</v>
      </c>
      <c r="H48" t="s">
        <v>255</v>
      </c>
      <c r="I48">
        <v>2</v>
      </c>
      <c r="J48">
        <f t="shared" si="8"/>
        <v>1</v>
      </c>
    </row>
    <row r="49" spans="1:10" x14ac:dyDescent="0.4">
      <c r="B49" t="s">
        <v>272</v>
      </c>
      <c r="C49" s="11" t="s">
        <v>258</v>
      </c>
      <c r="D49" t="s">
        <v>259</v>
      </c>
      <c r="E49" t="s">
        <v>220</v>
      </c>
      <c r="F49" t="str">
        <f t="shared" si="7"/>
        <v>false</v>
      </c>
      <c r="G49" t="str">
        <f>"false"</f>
        <v>false</v>
      </c>
      <c r="H49" t="s">
        <v>267</v>
      </c>
      <c r="I49">
        <v>3</v>
      </c>
      <c r="J49">
        <f t="shared" si="8"/>
        <v>1</v>
      </c>
    </row>
    <row r="50" spans="1:10" x14ac:dyDescent="0.4">
      <c r="B50" t="s">
        <v>272</v>
      </c>
      <c r="C50" t="s">
        <v>260</v>
      </c>
      <c r="D50" t="s">
        <v>261</v>
      </c>
      <c r="E50" t="s">
        <v>217</v>
      </c>
      <c r="F50" t="str">
        <f t="shared" si="7"/>
        <v>false</v>
      </c>
      <c r="G50" t="s">
        <v>267</v>
      </c>
      <c r="H50" t="s">
        <v>259</v>
      </c>
      <c r="I50">
        <v>4</v>
      </c>
      <c r="J50">
        <f t="shared" si="8"/>
        <v>1</v>
      </c>
    </row>
    <row r="51" spans="1:10" x14ac:dyDescent="0.4">
      <c r="B51" t="s">
        <v>272</v>
      </c>
      <c r="C51" t="s">
        <v>262</v>
      </c>
      <c r="D51" t="s">
        <v>263</v>
      </c>
      <c r="E51" t="s">
        <v>223</v>
      </c>
      <c r="F51" t="str">
        <f t="shared" si="7"/>
        <v>false</v>
      </c>
      <c r="G51">
        <v>0</v>
      </c>
      <c r="H51" t="s">
        <v>259</v>
      </c>
      <c r="I51">
        <v>5</v>
      </c>
      <c r="J51">
        <f t="shared" si="8"/>
        <v>1</v>
      </c>
    </row>
    <row r="52" spans="1:10" x14ac:dyDescent="0.4">
      <c r="B52" t="s">
        <v>272</v>
      </c>
      <c r="C52" t="s">
        <v>264</v>
      </c>
      <c r="D52" t="s">
        <v>265</v>
      </c>
      <c r="E52" t="s">
        <v>223</v>
      </c>
      <c r="F52" t="str">
        <f t="shared" si="7"/>
        <v>false</v>
      </c>
      <c r="G52">
        <v>0</v>
      </c>
      <c r="H52" t="s">
        <v>259</v>
      </c>
      <c r="I52">
        <v>6</v>
      </c>
      <c r="J52">
        <f t="shared" si="8"/>
        <v>1</v>
      </c>
    </row>
    <row r="56" spans="1:10" x14ac:dyDescent="0.4">
      <c r="A56" t="s">
        <v>285</v>
      </c>
      <c r="B56" t="s">
        <v>276</v>
      </c>
      <c r="C56" t="s">
        <v>269</v>
      </c>
      <c r="D56" t="s">
        <v>277</v>
      </c>
    </row>
    <row r="57" spans="1:10" x14ac:dyDescent="0.4">
      <c r="B57" t="s">
        <v>280</v>
      </c>
      <c r="C57" t="s">
        <v>281</v>
      </c>
      <c r="D57">
        <v>4</v>
      </c>
    </row>
    <row r="59" spans="1:10" x14ac:dyDescent="0.4">
      <c r="C59" t="s">
        <v>287</v>
      </c>
    </row>
    <row r="60" spans="1:10" x14ac:dyDescent="0.4">
      <c r="C60" t="s">
        <v>288</v>
      </c>
    </row>
    <row r="61" spans="1:10" x14ac:dyDescent="0.4">
      <c r="C61" t="s">
        <v>289</v>
      </c>
    </row>
    <row r="62" spans="1:10" x14ac:dyDescent="0.4">
      <c r="C62" t="s">
        <v>290</v>
      </c>
    </row>
    <row r="63" spans="1:10" x14ac:dyDescent="0.4">
      <c r="C63" t="s">
        <v>291</v>
      </c>
    </row>
    <row r="64" spans="1:10" x14ac:dyDescent="0.4">
      <c r="C64" t="s">
        <v>292</v>
      </c>
    </row>
    <row r="69" spans="1:4" x14ac:dyDescent="0.4">
      <c r="A69" t="s">
        <v>286</v>
      </c>
      <c r="B69" t="s">
        <v>276</v>
      </c>
      <c r="C69" t="s">
        <v>269</v>
      </c>
      <c r="D69" t="s">
        <v>277</v>
      </c>
    </row>
    <row r="70" spans="1:4" x14ac:dyDescent="0.4">
      <c r="B70" t="s">
        <v>282</v>
      </c>
      <c r="C70" t="s">
        <v>283</v>
      </c>
      <c r="D70">
        <v>5</v>
      </c>
    </row>
  </sheetData>
  <mergeCells count="1">
    <mergeCell ref="L2:O2"/>
  </mergeCells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3ECDB-5D09-4195-A307-0349471453B4}">
  <dimension ref="C3:AB15"/>
  <sheetViews>
    <sheetView workbookViewId="0">
      <selection activeCell="Z21" sqref="Z21"/>
    </sheetView>
  </sheetViews>
  <sheetFormatPr defaultRowHeight="18.75" x14ac:dyDescent="0.4"/>
  <cols>
    <col min="2" max="2" width="5.25" bestFit="1" customWidth="1"/>
    <col min="3" max="3" width="19.125" bestFit="1" customWidth="1"/>
    <col min="4" max="4" width="17.5" bestFit="1" customWidth="1"/>
    <col min="5" max="5" width="14" bestFit="1" customWidth="1"/>
    <col min="6" max="6" width="10.125" bestFit="1" customWidth="1"/>
    <col min="7" max="7" width="12.875" bestFit="1" customWidth="1"/>
    <col min="8" max="8" width="12.625" bestFit="1" customWidth="1"/>
    <col min="9" max="9" width="9" bestFit="1" customWidth="1"/>
    <col min="10" max="11" width="3.375" bestFit="1" customWidth="1"/>
    <col min="12" max="12" width="5.25" bestFit="1" customWidth="1"/>
    <col min="13" max="14" width="3.375" bestFit="1" customWidth="1"/>
    <col min="18" max="28" width="10.5" bestFit="1" customWidth="1"/>
  </cols>
  <sheetData>
    <row r="3" spans="3:28" x14ac:dyDescent="0.4">
      <c r="R3" s="14">
        <v>83.5</v>
      </c>
      <c r="S3" s="14">
        <v>83.541666666666671</v>
      </c>
      <c r="T3" s="14">
        <v>83.583333333333329</v>
      </c>
      <c r="U3" s="14">
        <v>83.625</v>
      </c>
      <c r="V3" s="14">
        <v>83.666666666666671</v>
      </c>
      <c r="W3" s="14">
        <v>83.708333333333329</v>
      </c>
      <c r="X3" s="14">
        <v>83.75</v>
      </c>
      <c r="Y3" s="14">
        <v>83.791666666666671</v>
      </c>
      <c r="Z3" s="14">
        <v>83.833333333333329</v>
      </c>
      <c r="AA3" s="14">
        <v>83.875</v>
      </c>
      <c r="AB3" s="14">
        <v>83.916666666666671</v>
      </c>
    </row>
    <row r="4" spans="3:28" x14ac:dyDescent="0.4">
      <c r="C4" t="s">
        <v>82</v>
      </c>
      <c r="D4" t="s">
        <v>156</v>
      </c>
      <c r="E4" t="s">
        <v>102</v>
      </c>
      <c r="F4" t="s">
        <v>153</v>
      </c>
      <c r="G4" t="s">
        <v>135</v>
      </c>
      <c r="H4" t="s">
        <v>176</v>
      </c>
      <c r="I4" t="s">
        <v>83</v>
      </c>
      <c r="R4" s="16" t="s">
        <v>177</v>
      </c>
      <c r="S4" s="16" t="s">
        <v>177</v>
      </c>
      <c r="T4" s="15" t="s">
        <v>190</v>
      </c>
      <c r="U4" s="15" t="s">
        <v>190</v>
      </c>
      <c r="V4" s="15" t="s">
        <v>190</v>
      </c>
      <c r="W4" s="15" t="s">
        <v>190</v>
      </c>
      <c r="X4" s="15" t="s">
        <v>190</v>
      </c>
      <c r="Y4" s="15" t="s">
        <v>190</v>
      </c>
      <c r="Z4" s="15" t="s">
        <v>190</v>
      </c>
      <c r="AA4" s="15" t="s">
        <v>190</v>
      </c>
      <c r="AB4" s="16" t="s">
        <v>177</v>
      </c>
    </row>
    <row r="5" spans="3:28" x14ac:dyDescent="0.4">
      <c r="C5" t="s">
        <v>153</v>
      </c>
      <c r="D5" t="s">
        <v>161</v>
      </c>
      <c r="E5" t="s">
        <v>155</v>
      </c>
      <c r="F5" t="s">
        <v>157</v>
      </c>
      <c r="G5" t="s">
        <v>160</v>
      </c>
      <c r="H5" t="s">
        <v>158</v>
      </c>
      <c r="I5" t="s">
        <v>160</v>
      </c>
      <c r="R5" s="16" t="s">
        <v>178</v>
      </c>
      <c r="S5" s="16" t="s">
        <v>178</v>
      </c>
      <c r="T5" s="15" t="s">
        <v>191</v>
      </c>
      <c r="U5" s="15" t="s">
        <v>191</v>
      </c>
      <c r="V5" s="15" t="s">
        <v>191</v>
      </c>
      <c r="W5" s="15" t="s">
        <v>191</v>
      </c>
      <c r="X5" s="15" t="s">
        <v>191</v>
      </c>
      <c r="Y5" s="15" t="s">
        <v>191</v>
      </c>
      <c r="Z5" s="15" t="s">
        <v>191</v>
      </c>
      <c r="AA5" s="15" t="s">
        <v>191</v>
      </c>
      <c r="AB5" s="16" t="s">
        <v>178</v>
      </c>
    </row>
    <row r="6" spans="3:28" x14ac:dyDescent="0.4">
      <c r="C6" t="s">
        <v>7</v>
      </c>
      <c r="D6" t="s">
        <v>163</v>
      </c>
      <c r="R6" s="16" t="s">
        <v>179</v>
      </c>
      <c r="S6" s="16" t="s">
        <v>179</v>
      </c>
      <c r="T6" s="15" t="s">
        <v>192</v>
      </c>
      <c r="U6" s="15" t="s">
        <v>192</v>
      </c>
      <c r="V6" s="15" t="s">
        <v>192</v>
      </c>
      <c r="W6" s="15" t="s">
        <v>192</v>
      </c>
      <c r="X6" s="15" t="s">
        <v>192</v>
      </c>
      <c r="Y6" s="15" t="s">
        <v>192</v>
      </c>
      <c r="Z6" s="15" t="s">
        <v>192</v>
      </c>
      <c r="AA6" s="15" t="s">
        <v>192</v>
      </c>
      <c r="AB6" s="16" t="s">
        <v>179</v>
      </c>
    </row>
    <row r="7" spans="3:28" x14ac:dyDescent="0.4">
      <c r="C7" t="s">
        <v>165</v>
      </c>
      <c r="D7" t="s">
        <v>164</v>
      </c>
      <c r="E7" t="s">
        <v>154</v>
      </c>
      <c r="F7" t="s">
        <v>159</v>
      </c>
      <c r="G7" t="s">
        <v>160</v>
      </c>
      <c r="H7" t="s">
        <v>162</v>
      </c>
      <c r="I7" t="s">
        <v>160</v>
      </c>
      <c r="R7" s="16" t="s">
        <v>180</v>
      </c>
      <c r="S7" s="16" t="s">
        <v>180</v>
      </c>
      <c r="T7" s="15" t="s">
        <v>193</v>
      </c>
      <c r="U7" s="15" t="s">
        <v>193</v>
      </c>
      <c r="V7" s="15" t="s">
        <v>193</v>
      </c>
      <c r="W7" s="15" t="s">
        <v>193</v>
      </c>
      <c r="X7" s="15" t="s">
        <v>193</v>
      </c>
      <c r="Y7" s="15" t="s">
        <v>193</v>
      </c>
      <c r="Z7" s="15" t="s">
        <v>193</v>
      </c>
      <c r="AA7" s="15" t="s">
        <v>193</v>
      </c>
      <c r="AB7" s="16" t="s">
        <v>180</v>
      </c>
    </row>
    <row r="8" spans="3:28" x14ac:dyDescent="0.4">
      <c r="C8" t="s">
        <v>166</v>
      </c>
      <c r="D8" t="s">
        <v>167</v>
      </c>
      <c r="E8" t="s">
        <v>174</v>
      </c>
      <c r="F8" t="s">
        <v>175</v>
      </c>
      <c r="G8" t="s">
        <v>160</v>
      </c>
      <c r="H8" t="s">
        <v>158</v>
      </c>
      <c r="I8" t="s">
        <v>160</v>
      </c>
      <c r="R8" s="16" t="s">
        <v>181</v>
      </c>
      <c r="S8" s="16" t="s">
        <v>181</v>
      </c>
      <c r="T8" s="15" t="s">
        <v>194</v>
      </c>
      <c r="U8" s="15" t="s">
        <v>194</v>
      </c>
      <c r="V8" s="15" t="s">
        <v>194</v>
      </c>
      <c r="W8" s="15" t="s">
        <v>194</v>
      </c>
      <c r="X8" s="15" t="s">
        <v>194</v>
      </c>
      <c r="Y8" s="15" t="s">
        <v>194</v>
      </c>
      <c r="Z8" s="15" t="s">
        <v>194</v>
      </c>
      <c r="AA8" s="15" t="s">
        <v>194</v>
      </c>
      <c r="AB8" s="16" t="s">
        <v>181</v>
      </c>
    </row>
    <row r="9" spans="3:28" x14ac:dyDescent="0.4">
      <c r="E9" t="s">
        <v>168</v>
      </c>
      <c r="F9" t="s">
        <v>160</v>
      </c>
      <c r="G9" t="s">
        <v>160</v>
      </c>
      <c r="H9" t="s">
        <v>169</v>
      </c>
      <c r="R9" s="16" t="s">
        <v>182</v>
      </c>
      <c r="S9" s="16" t="s">
        <v>182</v>
      </c>
      <c r="T9" t="s">
        <v>182</v>
      </c>
      <c r="U9" s="15" t="s">
        <v>200</v>
      </c>
      <c r="V9" t="s">
        <v>182</v>
      </c>
      <c r="W9" s="15" t="s">
        <v>200</v>
      </c>
      <c r="X9" t="s">
        <v>182</v>
      </c>
      <c r="Y9" s="15" t="s">
        <v>200</v>
      </c>
      <c r="Z9" t="s">
        <v>182</v>
      </c>
      <c r="AA9" s="15" t="s">
        <v>200</v>
      </c>
      <c r="AB9" s="16" t="s">
        <v>182</v>
      </c>
    </row>
    <row r="10" spans="3:28" x14ac:dyDescent="0.4">
      <c r="E10" t="s">
        <v>154</v>
      </c>
      <c r="F10" t="s">
        <v>159</v>
      </c>
      <c r="G10" t="s">
        <v>160</v>
      </c>
      <c r="H10" t="s">
        <v>162</v>
      </c>
      <c r="I10" t="s">
        <v>160</v>
      </c>
      <c r="R10" s="16" t="s">
        <v>183</v>
      </c>
      <c r="S10" s="16" t="s">
        <v>183</v>
      </c>
      <c r="T10" s="15" t="s">
        <v>195</v>
      </c>
      <c r="U10" s="15" t="s">
        <v>195</v>
      </c>
      <c r="V10" s="15" t="s">
        <v>195</v>
      </c>
      <c r="W10" s="15" t="s">
        <v>195</v>
      </c>
      <c r="X10" s="15" t="s">
        <v>195</v>
      </c>
      <c r="Y10" s="15" t="s">
        <v>195</v>
      </c>
      <c r="Z10" s="15" t="s">
        <v>195</v>
      </c>
      <c r="AA10" s="15" t="s">
        <v>195</v>
      </c>
      <c r="AB10" s="16" t="s">
        <v>183</v>
      </c>
    </row>
    <row r="11" spans="3:28" x14ac:dyDescent="0.4">
      <c r="C11" t="s">
        <v>171</v>
      </c>
      <c r="D11" t="s">
        <v>172</v>
      </c>
      <c r="E11" t="s">
        <v>173</v>
      </c>
      <c r="R11" s="16" t="s">
        <v>184</v>
      </c>
      <c r="S11" s="16" t="s">
        <v>184</v>
      </c>
      <c r="T11" s="15" t="s">
        <v>196</v>
      </c>
      <c r="U11" s="15" t="s">
        <v>196</v>
      </c>
      <c r="V11" s="15" t="s">
        <v>196</v>
      </c>
      <c r="W11" s="15" t="s">
        <v>196</v>
      </c>
      <c r="X11" s="15" t="s">
        <v>196</v>
      </c>
      <c r="Y11" s="15" t="s">
        <v>196</v>
      </c>
      <c r="Z11" s="15" t="s">
        <v>196</v>
      </c>
      <c r="AA11" s="15" t="s">
        <v>196</v>
      </c>
      <c r="AB11" s="16" t="s">
        <v>184</v>
      </c>
    </row>
    <row r="12" spans="3:28" x14ac:dyDescent="0.4">
      <c r="R12" s="16" t="s">
        <v>185</v>
      </c>
      <c r="S12" s="16" t="s">
        <v>185</v>
      </c>
      <c r="T12" s="15" t="s">
        <v>197</v>
      </c>
      <c r="U12" s="15" t="s">
        <v>197</v>
      </c>
      <c r="V12" s="15" t="s">
        <v>197</v>
      </c>
      <c r="W12" s="15" t="s">
        <v>197</v>
      </c>
      <c r="X12" s="15" t="s">
        <v>197</v>
      </c>
      <c r="Y12" s="15" t="s">
        <v>197</v>
      </c>
      <c r="Z12" s="15" t="s">
        <v>197</v>
      </c>
      <c r="AA12" s="15" t="s">
        <v>197</v>
      </c>
      <c r="AB12" s="16" t="s">
        <v>185</v>
      </c>
    </row>
    <row r="13" spans="3:28" x14ac:dyDescent="0.4">
      <c r="R13" s="16" t="s">
        <v>186</v>
      </c>
      <c r="S13" s="16" t="s">
        <v>186</v>
      </c>
      <c r="T13" s="15" t="s">
        <v>198</v>
      </c>
      <c r="U13" s="15" t="s">
        <v>198</v>
      </c>
      <c r="V13" s="15" t="s">
        <v>198</v>
      </c>
      <c r="W13" s="15" t="s">
        <v>198</v>
      </c>
      <c r="X13" s="15" t="s">
        <v>198</v>
      </c>
      <c r="Y13" s="15" t="s">
        <v>198</v>
      </c>
      <c r="Z13" s="15" t="s">
        <v>198</v>
      </c>
      <c r="AA13" s="15" t="s">
        <v>198</v>
      </c>
      <c r="AB13" s="16" t="s">
        <v>186</v>
      </c>
    </row>
    <row r="14" spans="3:28" x14ac:dyDescent="0.4">
      <c r="R14" s="16" t="s">
        <v>187</v>
      </c>
      <c r="S14" s="16" t="s">
        <v>187</v>
      </c>
      <c r="T14" s="15" t="s">
        <v>199</v>
      </c>
      <c r="U14" s="15" t="s">
        <v>199</v>
      </c>
      <c r="V14" s="15" t="s">
        <v>199</v>
      </c>
      <c r="W14" s="15" t="s">
        <v>199</v>
      </c>
      <c r="X14" s="15" t="s">
        <v>199</v>
      </c>
      <c r="Y14" s="15" t="s">
        <v>199</v>
      </c>
      <c r="Z14" s="15" t="s">
        <v>199</v>
      </c>
      <c r="AA14" s="15" t="s">
        <v>199</v>
      </c>
      <c r="AB14" s="16" t="s">
        <v>187</v>
      </c>
    </row>
    <row r="15" spans="3:28" x14ac:dyDescent="0.4">
      <c r="R15" s="16" t="s">
        <v>188</v>
      </c>
      <c r="S15" s="15" t="s">
        <v>189</v>
      </c>
      <c r="T15" t="s">
        <v>188</v>
      </c>
      <c r="U15" s="15" t="s">
        <v>189</v>
      </c>
      <c r="V15" t="s">
        <v>188</v>
      </c>
      <c r="W15" s="15" t="s">
        <v>189</v>
      </c>
      <c r="X15" t="s">
        <v>188</v>
      </c>
      <c r="Y15" s="15" t="s">
        <v>189</v>
      </c>
      <c r="Z15" t="s">
        <v>188</v>
      </c>
      <c r="AA15" s="16" t="s">
        <v>188</v>
      </c>
      <c r="AB15" s="16" t="s">
        <v>188</v>
      </c>
    </row>
  </sheetData>
  <phoneticPr fontId="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12AFF-5B13-40A6-88F0-2FBC1AA74E0C}">
  <dimension ref="C5:C14"/>
  <sheetViews>
    <sheetView workbookViewId="0">
      <selection activeCell="C15" sqref="C15"/>
    </sheetView>
  </sheetViews>
  <sheetFormatPr defaultRowHeight="18.75" x14ac:dyDescent="0.4"/>
  <sheetData>
    <row r="5" spans="3:3" x14ac:dyDescent="0.4">
      <c r="C5" t="s">
        <v>201</v>
      </c>
    </row>
    <row r="7" spans="3:3" x14ac:dyDescent="0.4">
      <c r="C7" t="s">
        <v>202</v>
      </c>
    </row>
    <row r="8" spans="3:3" x14ac:dyDescent="0.4">
      <c r="C8" t="s">
        <v>203</v>
      </c>
    </row>
    <row r="10" spans="3:3" x14ac:dyDescent="0.4">
      <c r="C10" t="s">
        <v>204</v>
      </c>
    </row>
    <row r="11" spans="3:3" x14ac:dyDescent="0.4">
      <c r="C11" t="s">
        <v>205</v>
      </c>
    </row>
    <row r="13" spans="3:3" x14ac:dyDescent="0.4">
      <c r="C13" t="s">
        <v>206</v>
      </c>
    </row>
    <row r="14" spans="3:3" x14ac:dyDescent="0.4">
      <c r="C14" t="s">
        <v>207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FBD7E-B02D-470A-B84B-8F791466552A}">
  <dimension ref="B1:O216"/>
  <sheetViews>
    <sheetView tabSelected="1" workbookViewId="0">
      <selection activeCell="R6" sqref="R6"/>
    </sheetView>
  </sheetViews>
  <sheetFormatPr defaultRowHeight="18.75" x14ac:dyDescent="0.4"/>
  <cols>
    <col min="3" max="3" width="5.375" bestFit="1" customWidth="1"/>
    <col min="4" max="15" width="8.375" bestFit="1" customWidth="1"/>
  </cols>
  <sheetData>
    <row r="1" spans="2:15" x14ac:dyDescent="0.4">
      <c r="D1">
        <v>1</v>
      </c>
      <c r="E1">
        <v>2</v>
      </c>
      <c r="F1">
        <v>3</v>
      </c>
      <c r="G1" s="32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</row>
    <row r="2" spans="2:15" x14ac:dyDescent="0.4">
      <c r="C2" t="s">
        <v>314</v>
      </c>
      <c r="D2" s="23">
        <v>38687</v>
      </c>
      <c r="E2" s="23">
        <f>EDATE(D2,1)</f>
        <v>38718</v>
      </c>
      <c r="F2" s="23">
        <f t="shared" ref="F2:O2" si="0">EDATE(E2,1)</f>
        <v>38749</v>
      </c>
      <c r="G2" s="33">
        <f t="shared" si="0"/>
        <v>38777</v>
      </c>
      <c r="H2" s="23">
        <f t="shared" si="0"/>
        <v>38808</v>
      </c>
      <c r="I2" s="23">
        <f t="shared" si="0"/>
        <v>38838</v>
      </c>
      <c r="J2" s="23">
        <f t="shared" si="0"/>
        <v>38869</v>
      </c>
      <c r="K2" s="23">
        <f t="shared" si="0"/>
        <v>38899</v>
      </c>
      <c r="L2" s="23">
        <f t="shared" si="0"/>
        <v>38930</v>
      </c>
      <c r="M2" s="23">
        <f t="shared" si="0"/>
        <v>38961</v>
      </c>
      <c r="N2" s="23">
        <f t="shared" si="0"/>
        <v>38991</v>
      </c>
      <c r="O2" s="23">
        <f t="shared" si="0"/>
        <v>39022</v>
      </c>
    </row>
    <row r="3" spans="2:15" x14ac:dyDescent="0.4">
      <c r="C3" t="s">
        <v>346</v>
      </c>
      <c r="D3" s="23">
        <f>EDATE(D2,12)</f>
        <v>39052</v>
      </c>
      <c r="E3" s="23">
        <f t="shared" ref="E3:O3" si="1">EDATE(E2,12)</f>
        <v>39083</v>
      </c>
      <c r="F3" s="23">
        <f t="shared" si="1"/>
        <v>39114</v>
      </c>
      <c r="G3" s="33">
        <f t="shared" si="1"/>
        <v>39142</v>
      </c>
      <c r="H3" s="23">
        <f t="shared" si="1"/>
        <v>39173</v>
      </c>
      <c r="I3" s="23">
        <f t="shared" si="1"/>
        <v>39203</v>
      </c>
      <c r="J3" s="23">
        <f t="shared" si="1"/>
        <v>39234</v>
      </c>
      <c r="K3" s="23">
        <f t="shared" si="1"/>
        <v>39264</v>
      </c>
      <c r="L3" s="23">
        <f t="shared" si="1"/>
        <v>39295</v>
      </c>
      <c r="M3" s="23">
        <f t="shared" si="1"/>
        <v>39326</v>
      </c>
      <c r="N3" s="23">
        <f t="shared" si="1"/>
        <v>39356</v>
      </c>
      <c r="O3" s="23">
        <f t="shared" si="1"/>
        <v>39387</v>
      </c>
    </row>
    <row r="4" spans="2:15" x14ac:dyDescent="0.4">
      <c r="C4" t="s">
        <v>347</v>
      </c>
      <c r="D4" s="23">
        <f t="shared" ref="D4:D25" si="2">EDATE(D3,12)</f>
        <v>39417</v>
      </c>
      <c r="E4" s="23">
        <f t="shared" ref="E4:E25" si="3">EDATE(E3,12)</f>
        <v>39448</v>
      </c>
      <c r="F4" s="23">
        <f t="shared" ref="F4:F25" si="4">EDATE(F3,12)</f>
        <v>39479</v>
      </c>
      <c r="G4" s="33">
        <f t="shared" ref="G4:G25" si="5">EDATE(G3,12)</f>
        <v>39508</v>
      </c>
      <c r="H4" s="23">
        <f t="shared" ref="H4:H25" si="6">EDATE(H3,12)</f>
        <v>39539</v>
      </c>
      <c r="I4" s="23">
        <f t="shared" ref="I4:I25" si="7">EDATE(I3,12)</f>
        <v>39569</v>
      </c>
      <c r="J4" s="23">
        <f t="shared" ref="J4:J25" si="8">EDATE(J3,12)</f>
        <v>39600</v>
      </c>
      <c r="K4" s="23">
        <f t="shared" ref="K4:K25" si="9">EDATE(K3,12)</f>
        <v>39630</v>
      </c>
      <c r="L4" s="23">
        <f t="shared" ref="L4:L25" si="10">EDATE(L3,12)</f>
        <v>39661</v>
      </c>
      <c r="M4" s="23">
        <f t="shared" ref="M4:M25" si="11">EDATE(M3,12)</f>
        <v>39692</v>
      </c>
      <c r="N4" s="23">
        <f t="shared" ref="N4:N25" si="12">EDATE(N3,12)</f>
        <v>39722</v>
      </c>
      <c r="O4" s="23">
        <f t="shared" ref="O4:O25" si="13">EDATE(O3,12)</f>
        <v>39753</v>
      </c>
    </row>
    <row r="5" spans="2:15" x14ac:dyDescent="0.4">
      <c r="C5" t="s">
        <v>348</v>
      </c>
      <c r="D5" s="23">
        <f t="shared" si="2"/>
        <v>39783</v>
      </c>
      <c r="E5" s="23">
        <f t="shared" si="3"/>
        <v>39814</v>
      </c>
      <c r="F5" s="23">
        <f t="shared" si="4"/>
        <v>39845</v>
      </c>
      <c r="G5" s="33">
        <f t="shared" si="5"/>
        <v>39873</v>
      </c>
      <c r="H5" s="23">
        <f t="shared" si="6"/>
        <v>39904</v>
      </c>
      <c r="I5" s="23">
        <f t="shared" si="7"/>
        <v>39934</v>
      </c>
      <c r="J5" s="23">
        <f t="shared" si="8"/>
        <v>39965</v>
      </c>
      <c r="K5" s="23">
        <f t="shared" si="9"/>
        <v>39995</v>
      </c>
      <c r="L5" s="23">
        <f t="shared" si="10"/>
        <v>40026</v>
      </c>
      <c r="M5" s="23">
        <f t="shared" si="11"/>
        <v>40057</v>
      </c>
      <c r="N5" s="23">
        <f t="shared" si="12"/>
        <v>40087</v>
      </c>
      <c r="O5" s="23">
        <f t="shared" si="13"/>
        <v>40118</v>
      </c>
    </row>
    <row r="6" spans="2:15" x14ac:dyDescent="0.4">
      <c r="C6" t="s">
        <v>349</v>
      </c>
      <c r="D6" s="23">
        <f t="shared" si="2"/>
        <v>40148</v>
      </c>
      <c r="E6" s="23">
        <f t="shared" si="3"/>
        <v>40179</v>
      </c>
      <c r="F6" s="23">
        <f t="shared" si="4"/>
        <v>40210</v>
      </c>
      <c r="G6" s="33">
        <f t="shared" si="5"/>
        <v>40238</v>
      </c>
      <c r="H6" s="23">
        <f t="shared" si="6"/>
        <v>40269</v>
      </c>
      <c r="I6" s="23">
        <f t="shared" si="7"/>
        <v>40299</v>
      </c>
      <c r="J6" s="23">
        <f t="shared" si="8"/>
        <v>40330</v>
      </c>
      <c r="K6" s="23">
        <f t="shared" si="9"/>
        <v>40360</v>
      </c>
      <c r="L6" s="23">
        <f t="shared" si="10"/>
        <v>40391</v>
      </c>
      <c r="M6" s="23">
        <f t="shared" si="11"/>
        <v>40422</v>
      </c>
      <c r="N6" s="23">
        <f t="shared" si="12"/>
        <v>40452</v>
      </c>
      <c r="O6" s="23">
        <f t="shared" si="13"/>
        <v>40483</v>
      </c>
    </row>
    <row r="7" spans="2:15" x14ac:dyDescent="0.4">
      <c r="C7" t="s">
        <v>350</v>
      </c>
      <c r="D7" s="23">
        <f t="shared" si="2"/>
        <v>40513</v>
      </c>
      <c r="E7" s="23">
        <f t="shared" si="3"/>
        <v>40544</v>
      </c>
      <c r="F7" s="23">
        <f t="shared" si="4"/>
        <v>40575</v>
      </c>
      <c r="G7" s="33">
        <f t="shared" si="5"/>
        <v>40603</v>
      </c>
      <c r="H7" s="23">
        <f t="shared" si="6"/>
        <v>40634</v>
      </c>
      <c r="I7" s="23">
        <f t="shared" si="7"/>
        <v>40664</v>
      </c>
      <c r="J7" s="23">
        <f t="shared" si="8"/>
        <v>40695</v>
      </c>
      <c r="K7" s="23">
        <f t="shared" si="9"/>
        <v>40725</v>
      </c>
      <c r="L7" s="23">
        <f t="shared" si="10"/>
        <v>40756</v>
      </c>
      <c r="M7" s="23">
        <f t="shared" si="11"/>
        <v>40787</v>
      </c>
      <c r="N7" s="23">
        <f t="shared" si="12"/>
        <v>40817</v>
      </c>
      <c r="O7" s="23">
        <f t="shared" si="13"/>
        <v>40848</v>
      </c>
    </row>
    <row r="8" spans="2:15" x14ac:dyDescent="0.4">
      <c r="B8" s="25" t="s">
        <v>313</v>
      </c>
      <c r="C8" t="s">
        <v>315</v>
      </c>
      <c r="D8" s="23">
        <f t="shared" si="2"/>
        <v>40878</v>
      </c>
      <c r="E8" s="23">
        <f t="shared" si="3"/>
        <v>40909</v>
      </c>
      <c r="F8" s="23">
        <f t="shared" si="4"/>
        <v>40940</v>
      </c>
      <c r="G8" s="33">
        <f t="shared" si="5"/>
        <v>40969</v>
      </c>
      <c r="H8" s="24">
        <f t="shared" si="6"/>
        <v>41000</v>
      </c>
      <c r="I8" s="24">
        <f t="shared" si="7"/>
        <v>41030</v>
      </c>
      <c r="J8" s="24">
        <f t="shared" si="8"/>
        <v>41061</v>
      </c>
      <c r="K8" s="24">
        <f t="shared" si="9"/>
        <v>41091</v>
      </c>
      <c r="L8" s="24">
        <f t="shared" si="10"/>
        <v>41122</v>
      </c>
      <c r="M8" s="24">
        <f t="shared" si="11"/>
        <v>41153</v>
      </c>
      <c r="N8" s="24">
        <f t="shared" si="12"/>
        <v>41183</v>
      </c>
      <c r="O8" s="24">
        <f t="shared" si="13"/>
        <v>41214</v>
      </c>
    </row>
    <row r="9" spans="2:15" x14ac:dyDescent="0.4">
      <c r="C9" t="s">
        <v>319</v>
      </c>
      <c r="D9" s="24">
        <f t="shared" si="2"/>
        <v>41244</v>
      </c>
      <c r="E9" s="24">
        <f t="shared" si="3"/>
        <v>41275</v>
      </c>
      <c r="F9" s="24">
        <f t="shared" si="4"/>
        <v>41306</v>
      </c>
      <c r="G9" s="34">
        <f t="shared" si="5"/>
        <v>41334</v>
      </c>
      <c r="H9" s="24">
        <f t="shared" si="6"/>
        <v>41365</v>
      </c>
      <c r="I9" s="24">
        <f t="shared" si="7"/>
        <v>41395</v>
      </c>
      <c r="J9" s="24">
        <f t="shared" si="8"/>
        <v>41426</v>
      </c>
      <c r="K9" s="24">
        <f t="shared" si="9"/>
        <v>41456</v>
      </c>
      <c r="L9" s="24">
        <f t="shared" si="10"/>
        <v>41487</v>
      </c>
      <c r="M9" s="24">
        <f t="shared" si="11"/>
        <v>41518</v>
      </c>
      <c r="N9" s="24">
        <f t="shared" si="12"/>
        <v>41548</v>
      </c>
      <c r="O9" s="24">
        <f t="shared" si="13"/>
        <v>41579</v>
      </c>
    </row>
    <row r="10" spans="2:15" x14ac:dyDescent="0.4">
      <c r="C10" t="s">
        <v>351</v>
      </c>
      <c r="D10" s="24">
        <f t="shared" si="2"/>
        <v>41609</v>
      </c>
      <c r="E10" s="24">
        <f t="shared" si="3"/>
        <v>41640</v>
      </c>
      <c r="F10" s="24">
        <f t="shared" si="4"/>
        <v>41671</v>
      </c>
      <c r="G10" s="34">
        <f t="shared" si="5"/>
        <v>41699</v>
      </c>
      <c r="H10" s="24">
        <f t="shared" si="6"/>
        <v>41730</v>
      </c>
      <c r="I10" s="24">
        <f t="shared" si="7"/>
        <v>41760</v>
      </c>
      <c r="J10" s="24">
        <f t="shared" si="8"/>
        <v>41791</v>
      </c>
      <c r="K10" s="24">
        <f t="shared" si="9"/>
        <v>41821</v>
      </c>
      <c r="L10" s="24">
        <f t="shared" si="10"/>
        <v>41852</v>
      </c>
      <c r="M10" s="24">
        <f t="shared" si="11"/>
        <v>41883</v>
      </c>
      <c r="N10" s="24">
        <f t="shared" si="12"/>
        <v>41913</v>
      </c>
      <c r="O10" s="24">
        <f t="shared" si="13"/>
        <v>41944</v>
      </c>
    </row>
    <row r="11" spans="2:15" x14ac:dyDescent="0.4">
      <c r="C11" t="s">
        <v>352</v>
      </c>
      <c r="D11" s="24">
        <f t="shared" si="2"/>
        <v>41974</v>
      </c>
      <c r="E11" s="24">
        <f t="shared" si="3"/>
        <v>42005</v>
      </c>
      <c r="F11" s="24">
        <f t="shared" si="4"/>
        <v>42036</v>
      </c>
      <c r="G11" s="34">
        <f t="shared" si="5"/>
        <v>42064</v>
      </c>
      <c r="H11" s="24">
        <f t="shared" si="6"/>
        <v>42095</v>
      </c>
      <c r="I11" s="24">
        <f t="shared" si="7"/>
        <v>42125</v>
      </c>
      <c r="J11" s="24">
        <f t="shared" si="8"/>
        <v>42156</v>
      </c>
      <c r="K11" s="24">
        <f t="shared" si="9"/>
        <v>42186</v>
      </c>
      <c r="L11" s="24">
        <f t="shared" si="10"/>
        <v>42217</v>
      </c>
      <c r="M11" s="24">
        <f t="shared" si="11"/>
        <v>42248</v>
      </c>
      <c r="N11" s="24">
        <f t="shared" si="12"/>
        <v>42278</v>
      </c>
      <c r="O11" s="24">
        <f t="shared" si="13"/>
        <v>42309</v>
      </c>
    </row>
    <row r="12" spans="2:15" x14ac:dyDescent="0.4">
      <c r="C12" t="s">
        <v>353</v>
      </c>
      <c r="D12" s="24">
        <f t="shared" si="2"/>
        <v>42339</v>
      </c>
      <c r="E12" s="24">
        <f t="shared" si="3"/>
        <v>42370</v>
      </c>
      <c r="F12" s="24">
        <f t="shared" si="4"/>
        <v>42401</v>
      </c>
      <c r="G12" s="34">
        <f t="shared" si="5"/>
        <v>42430</v>
      </c>
      <c r="H12" s="24">
        <f t="shared" si="6"/>
        <v>42461</v>
      </c>
      <c r="I12" s="24">
        <f t="shared" si="7"/>
        <v>42491</v>
      </c>
      <c r="J12" s="24">
        <f t="shared" si="8"/>
        <v>42522</v>
      </c>
      <c r="K12" s="24">
        <f t="shared" si="9"/>
        <v>42552</v>
      </c>
      <c r="L12" s="24">
        <f t="shared" si="10"/>
        <v>42583</v>
      </c>
      <c r="M12" s="24">
        <f t="shared" si="11"/>
        <v>42614</v>
      </c>
      <c r="N12" s="24">
        <f t="shared" si="12"/>
        <v>42644</v>
      </c>
      <c r="O12" s="24">
        <f t="shared" si="13"/>
        <v>42675</v>
      </c>
    </row>
    <row r="13" spans="2:15" x14ac:dyDescent="0.4">
      <c r="C13" t="s">
        <v>354</v>
      </c>
      <c r="D13" s="24">
        <f t="shared" si="2"/>
        <v>42705</v>
      </c>
      <c r="E13" s="24">
        <f t="shared" si="3"/>
        <v>42736</v>
      </c>
      <c r="F13" s="24">
        <f t="shared" si="4"/>
        <v>42767</v>
      </c>
      <c r="G13" s="34">
        <f t="shared" si="5"/>
        <v>42795</v>
      </c>
      <c r="H13" s="24">
        <f t="shared" si="6"/>
        <v>42826</v>
      </c>
      <c r="I13" s="24">
        <f t="shared" si="7"/>
        <v>42856</v>
      </c>
      <c r="J13" s="24">
        <f t="shared" si="8"/>
        <v>42887</v>
      </c>
      <c r="K13" s="24">
        <f t="shared" si="9"/>
        <v>42917</v>
      </c>
      <c r="L13" s="24">
        <f t="shared" si="10"/>
        <v>42948</v>
      </c>
      <c r="M13" s="24">
        <f t="shared" si="11"/>
        <v>42979</v>
      </c>
      <c r="N13" s="24">
        <f t="shared" si="12"/>
        <v>43009</v>
      </c>
      <c r="O13" s="24">
        <f t="shared" si="13"/>
        <v>43040</v>
      </c>
    </row>
    <row r="14" spans="2:15" x14ac:dyDescent="0.4">
      <c r="B14" s="27" t="s">
        <v>360</v>
      </c>
      <c r="C14" t="s">
        <v>316</v>
      </c>
      <c r="D14" s="24">
        <f t="shared" si="2"/>
        <v>43070</v>
      </c>
      <c r="E14" s="24">
        <f t="shared" si="3"/>
        <v>43101</v>
      </c>
      <c r="F14" s="24">
        <f t="shared" si="4"/>
        <v>43132</v>
      </c>
      <c r="G14" s="34">
        <f t="shared" si="5"/>
        <v>43160</v>
      </c>
      <c r="H14" s="26">
        <f t="shared" si="6"/>
        <v>43191</v>
      </c>
      <c r="I14" s="26">
        <f t="shared" si="7"/>
        <v>43221</v>
      </c>
      <c r="J14" s="26">
        <f t="shared" si="8"/>
        <v>43252</v>
      </c>
      <c r="K14" s="26">
        <f t="shared" si="9"/>
        <v>43282</v>
      </c>
      <c r="L14" s="26">
        <f t="shared" si="10"/>
        <v>43313</v>
      </c>
      <c r="M14" s="26">
        <f t="shared" si="11"/>
        <v>43344</v>
      </c>
      <c r="N14" s="26">
        <f t="shared" si="12"/>
        <v>43374</v>
      </c>
      <c r="O14" s="26">
        <f t="shared" si="13"/>
        <v>43405</v>
      </c>
    </row>
    <row r="15" spans="2:15" x14ac:dyDescent="0.4">
      <c r="C15" t="s">
        <v>317</v>
      </c>
      <c r="D15" s="26">
        <f t="shared" si="2"/>
        <v>43435</v>
      </c>
      <c r="E15" s="26">
        <f t="shared" si="3"/>
        <v>43466</v>
      </c>
      <c r="F15" s="26">
        <f t="shared" si="4"/>
        <v>43497</v>
      </c>
      <c r="G15" s="35">
        <f t="shared" si="5"/>
        <v>43525</v>
      </c>
      <c r="H15" s="26">
        <f t="shared" si="6"/>
        <v>43556</v>
      </c>
      <c r="I15" s="26">
        <f t="shared" si="7"/>
        <v>43586</v>
      </c>
      <c r="J15" s="26">
        <f t="shared" si="8"/>
        <v>43617</v>
      </c>
      <c r="K15" s="26">
        <f t="shared" si="9"/>
        <v>43647</v>
      </c>
      <c r="L15" s="26">
        <f t="shared" si="10"/>
        <v>43678</v>
      </c>
      <c r="M15" s="26">
        <f t="shared" si="11"/>
        <v>43709</v>
      </c>
      <c r="N15" s="26">
        <f t="shared" si="12"/>
        <v>43739</v>
      </c>
      <c r="O15" s="26">
        <f t="shared" si="13"/>
        <v>43770</v>
      </c>
    </row>
    <row r="16" spans="2:15" x14ac:dyDescent="0.4">
      <c r="C16" t="s">
        <v>355</v>
      </c>
      <c r="D16" s="26">
        <f t="shared" si="2"/>
        <v>43800</v>
      </c>
      <c r="E16" s="26">
        <f t="shared" si="3"/>
        <v>43831</v>
      </c>
      <c r="F16" s="26">
        <f t="shared" si="4"/>
        <v>43862</v>
      </c>
      <c r="G16" s="35">
        <f t="shared" si="5"/>
        <v>43891</v>
      </c>
      <c r="H16" s="26">
        <f t="shared" si="6"/>
        <v>43922</v>
      </c>
      <c r="I16" s="26">
        <f t="shared" si="7"/>
        <v>43952</v>
      </c>
      <c r="J16" s="26">
        <f t="shared" si="8"/>
        <v>43983</v>
      </c>
      <c r="K16" s="26">
        <f t="shared" si="9"/>
        <v>44013</v>
      </c>
      <c r="L16" s="26">
        <f t="shared" si="10"/>
        <v>44044</v>
      </c>
      <c r="M16" s="26">
        <f t="shared" si="11"/>
        <v>44075</v>
      </c>
      <c r="N16" s="26">
        <f t="shared" si="12"/>
        <v>44105</v>
      </c>
      <c r="O16" s="26">
        <f t="shared" si="13"/>
        <v>44136</v>
      </c>
    </row>
    <row r="17" spans="2:15" x14ac:dyDescent="0.4">
      <c r="B17" s="29" t="s">
        <v>361</v>
      </c>
      <c r="C17" t="s">
        <v>318</v>
      </c>
      <c r="D17" s="26">
        <f t="shared" si="2"/>
        <v>44166</v>
      </c>
      <c r="E17" s="26">
        <f t="shared" si="3"/>
        <v>44197</v>
      </c>
      <c r="F17" s="26">
        <f t="shared" si="4"/>
        <v>44228</v>
      </c>
      <c r="G17" s="35">
        <f t="shared" si="5"/>
        <v>44256</v>
      </c>
      <c r="H17" s="28">
        <f t="shared" si="6"/>
        <v>44287</v>
      </c>
      <c r="I17" s="28">
        <f t="shared" si="7"/>
        <v>44317</v>
      </c>
      <c r="J17" s="28">
        <f t="shared" si="8"/>
        <v>44348</v>
      </c>
      <c r="K17" s="28">
        <f t="shared" si="9"/>
        <v>44378</v>
      </c>
      <c r="L17" s="28">
        <f t="shared" si="10"/>
        <v>44409</v>
      </c>
      <c r="M17" s="28">
        <f t="shared" si="11"/>
        <v>44440</v>
      </c>
      <c r="N17" s="28">
        <f t="shared" si="12"/>
        <v>44470</v>
      </c>
      <c r="O17" s="28">
        <f t="shared" si="13"/>
        <v>44501</v>
      </c>
    </row>
    <row r="18" spans="2:15" x14ac:dyDescent="0.4">
      <c r="C18" t="s">
        <v>320</v>
      </c>
      <c r="D18" s="28">
        <f t="shared" si="2"/>
        <v>44531</v>
      </c>
      <c r="E18" s="28">
        <f t="shared" si="3"/>
        <v>44562</v>
      </c>
      <c r="F18" s="28">
        <f t="shared" si="4"/>
        <v>44593</v>
      </c>
      <c r="G18" s="36">
        <f t="shared" si="5"/>
        <v>44621</v>
      </c>
      <c r="H18" s="28">
        <f t="shared" si="6"/>
        <v>44652</v>
      </c>
      <c r="I18" s="28">
        <f t="shared" si="7"/>
        <v>44682</v>
      </c>
      <c r="J18" s="28">
        <f t="shared" si="8"/>
        <v>44713</v>
      </c>
      <c r="K18" s="28">
        <f t="shared" si="9"/>
        <v>44743</v>
      </c>
      <c r="L18" s="28">
        <f t="shared" si="10"/>
        <v>44774</v>
      </c>
      <c r="M18" s="28">
        <f t="shared" si="11"/>
        <v>44805</v>
      </c>
      <c r="N18" s="28">
        <f t="shared" si="12"/>
        <v>44835</v>
      </c>
      <c r="O18" s="28">
        <f t="shared" si="13"/>
        <v>44866</v>
      </c>
    </row>
    <row r="19" spans="2:15" x14ac:dyDescent="0.4">
      <c r="C19" t="s">
        <v>356</v>
      </c>
      <c r="D19" s="28">
        <f t="shared" si="2"/>
        <v>44896</v>
      </c>
      <c r="E19" s="28">
        <f t="shared" si="3"/>
        <v>44927</v>
      </c>
      <c r="F19" s="28">
        <f t="shared" si="4"/>
        <v>44958</v>
      </c>
      <c r="G19" s="36">
        <f t="shared" si="5"/>
        <v>44986</v>
      </c>
      <c r="H19" s="28">
        <f t="shared" si="6"/>
        <v>45017</v>
      </c>
      <c r="I19" s="28">
        <f t="shared" si="7"/>
        <v>45047</v>
      </c>
      <c r="J19" s="28">
        <f t="shared" si="8"/>
        <v>45078</v>
      </c>
      <c r="K19" s="28">
        <f t="shared" si="9"/>
        <v>45108</v>
      </c>
      <c r="L19" s="28">
        <f t="shared" si="10"/>
        <v>45139</v>
      </c>
      <c r="M19" s="28">
        <f t="shared" si="11"/>
        <v>45170</v>
      </c>
      <c r="N19" s="28">
        <f t="shared" si="12"/>
        <v>45200</v>
      </c>
      <c r="O19" s="28">
        <f t="shared" si="13"/>
        <v>45231</v>
      </c>
    </row>
    <row r="20" spans="2:15" x14ac:dyDescent="0.4">
      <c r="B20" s="31" t="s">
        <v>362</v>
      </c>
      <c r="C20" t="s">
        <v>321</v>
      </c>
      <c r="D20" s="28">
        <f t="shared" si="2"/>
        <v>45261</v>
      </c>
      <c r="E20" s="28">
        <f t="shared" si="3"/>
        <v>45292</v>
      </c>
      <c r="F20" s="28">
        <f t="shared" si="4"/>
        <v>45323</v>
      </c>
      <c r="G20" s="36">
        <f t="shared" si="5"/>
        <v>45352</v>
      </c>
      <c r="H20" s="30">
        <f t="shared" si="6"/>
        <v>45383</v>
      </c>
      <c r="I20" s="30">
        <f t="shared" si="7"/>
        <v>45413</v>
      </c>
      <c r="J20" s="30">
        <f t="shared" si="8"/>
        <v>45444</v>
      </c>
      <c r="K20" s="30">
        <f t="shared" si="9"/>
        <v>45474</v>
      </c>
      <c r="L20" s="30">
        <f t="shared" si="10"/>
        <v>45505</v>
      </c>
      <c r="M20" s="30">
        <f t="shared" si="11"/>
        <v>45536</v>
      </c>
      <c r="N20" s="30">
        <f t="shared" si="12"/>
        <v>45566</v>
      </c>
      <c r="O20" s="30">
        <f t="shared" si="13"/>
        <v>45597</v>
      </c>
    </row>
    <row r="21" spans="2:15" x14ac:dyDescent="0.4">
      <c r="C21" t="s">
        <v>322</v>
      </c>
      <c r="D21" s="30">
        <f t="shared" si="2"/>
        <v>45627</v>
      </c>
      <c r="E21" s="30">
        <f t="shared" si="3"/>
        <v>45658</v>
      </c>
      <c r="F21" s="30">
        <f t="shared" si="4"/>
        <v>45689</v>
      </c>
      <c r="G21" s="37">
        <f t="shared" si="5"/>
        <v>45717</v>
      </c>
      <c r="H21" s="30">
        <f t="shared" si="6"/>
        <v>45748</v>
      </c>
      <c r="I21" s="30">
        <f t="shared" si="7"/>
        <v>45778</v>
      </c>
      <c r="J21" s="30">
        <f t="shared" si="8"/>
        <v>45809</v>
      </c>
      <c r="K21" s="30">
        <f t="shared" si="9"/>
        <v>45839</v>
      </c>
      <c r="L21" s="30">
        <f t="shared" si="10"/>
        <v>45870</v>
      </c>
      <c r="M21" s="30">
        <f t="shared" si="11"/>
        <v>45901</v>
      </c>
      <c r="N21" s="30">
        <f t="shared" si="12"/>
        <v>45931</v>
      </c>
      <c r="O21" s="30">
        <f t="shared" si="13"/>
        <v>45962</v>
      </c>
    </row>
    <row r="22" spans="2:15" x14ac:dyDescent="0.4">
      <c r="C22" t="s">
        <v>357</v>
      </c>
      <c r="D22" s="30">
        <f t="shared" si="2"/>
        <v>45992</v>
      </c>
      <c r="E22" s="30">
        <f t="shared" si="3"/>
        <v>46023</v>
      </c>
      <c r="F22" s="30">
        <f t="shared" si="4"/>
        <v>46054</v>
      </c>
      <c r="G22" s="37">
        <f t="shared" si="5"/>
        <v>46082</v>
      </c>
      <c r="H22" s="30">
        <f t="shared" si="6"/>
        <v>46113</v>
      </c>
      <c r="I22" s="30">
        <f t="shared" si="7"/>
        <v>46143</v>
      </c>
      <c r="J22" s="30">
        <f t="shared" si="8"/>
        <v>46174</v>
      </c>
      <c r="K22" s="30">
        <f t="shared" si="9"/>
        <v>46204</v>
      </c>
      <c r="L22" s="30">
        <f t="shared" si="10"/>
        <v>46235</v>
      </c>
      <c r="M22" s="30">
        <f t="shared" si="11"/>
        <v>46266</v>
      </c>
      <c r="N22" s="30">
        <f t="shared" si="12"/>
        <v>46296</v>
      </c>
      <c r="O22" s="30">
        <f t="shared" si="13"/>
        <v>46327</v>
      </c>
    </row>
    <row r="23" spans="2:15" x14ac:dyDescent="0.4">
      <c r="C23" t="s">
        <v>358</v>
      </c>
      <c r="D23" s="30">
        <f t="shared" si="2"/>
        <v>46357</v>
      </c>
      <c r="E23" s="30">
        <f t="shared" si="3"/>
        <v>46388</v>
      </c>
      <c r="F23" s="30">
        <f t="shared" si="4"/>
        <v>46419</v>
      </c>
      <c r="G23" s="37">
        <f t="shared" si="5"/>
        <v>46447</v>
      </c>
      <c r="H23" s="30">
        <f t="shared" si="6"/>
        <v>46478</v>
      </c>
      <c r="I23" s="30">
        <f t="shared" si="7"/>
        <v>46508</v>
      </c>
      <c r="J23" s="30">
        <f t="shared" si="8"/>
        <v>46539</v>
      </c>
      <c r="K23" s="30">
        <f t="shared" si="9"/>
        <v>46569</v>
      </c>
      <c r="L23" s="30">
        <f t="shared" si="10"/>
        <v>46600</v>
      </c>
      <c r="M23" s="30">
        <f t="shared" si="11"/>
        <v>46631</v>
      </c>
      <c r="N23" s="30">
        <f t="shared" si="12"/>
        <v>46661</v>
      </c>
      <c r="O23" s="30">
        <f t="shared" si="13"/>
        <v>46692</v>
      </c>
    </row>
    <row r="24" spans="2:15" x14ac:dyDescent="0.4">
      <c r="C24" t="s">
        <v>323</v>
      </c>
      <c r="D24" s="30">
        <f t="shared" si="2"/>
        <v>46722</v>
      </c>
      <c r="E24" s="30">
        <f t="shared" si="3"/>
        <v>46753</v>
      </c>
      <c r="F24" s="30">
        <f t="shared" si="4"/>
        <v>46784</v>
      </c>
      <c r="G24" s="37">
        <f t="shared" si="5"/>
        <v>46813</v>
      </c>
      <c r="H24" s="23">
        <f t="shared" si="6"/>
        <v>46844</v>
      </c>
      <c r="I24" s="23">
        <f t="shared" si="7"/>
        <v>46874</v>
      </c>
      <c r="J24" s="23">
        <f t="shared" si="8"/>
        <v>46905</v>
      </c>
      <c r="K24" s="23">
        <f t="shared" si="9"/>
        <v>46935</v>
      </c>
      <c r="L24" s="23">
        <f t="shared" si="10"/>
        <v>46966</v>
      </c>
      <c r="M24" s="23">
        <f t="shared" si="11"/>
        <v>46997</v>
      </c>
      <c r="N24" s="23">
        <f t="shared" si="12"/>
        <v>47027</v>
      </c>
      <c r="O24" s="23">
        <f t="shared" si="13"/>
        <v>47058</v>
      </c>
    </row>
    <row r="25" spans="2:15" x14ac:dyDescent="0.4">
      <c r="C25" t="s">
        <v>359</v>
      </c>
      <c r="D25" s="23">
        <f t="shared" si="2"/>
        <v>47088</v>
      </c>
      <c r="E25" s="23">
        <f t="shared" si="3"/>
        <v>47119</v>
      </c>
      <c r="F25" s="23">
        <f t="shared" si="4"/>
        <v>47150</v>
      </c>
      <c r="G25" s="33">
        <f t="shared" si="5"/>
        <v>47178</v>
      </c>
      <c r="H25" s="23">
        <f t="shared" si="6"/>
        <v>47209</v>
      </c>
      <c r="I25" s="23">
        <f t="shared" si="7"/>
        <v>47239</v>
      </c>
      <c r="J25" s="23">
        <f t="shared" si="8"/>
        <v>47270</v>
      </c>
      <c r="K25" s="23">
        <f t="shared" si="9"/>
        <v>47300</v>
      </c>
      <c r="L25" s="23">
        <f t="shared" si="10"/>
        <v>47331</v>
      </c>
      <c r="M25" s="23">
        <f t="shared" si="11"/>
        <v>47362</v>
      </c>
      <c r="N25" s="23">
        <f t="shared" si="12"/>
        <v>47392</v>
      </c>
      <c r="O25" s="23">
        <f t="shared" si="13"/>
        <v>47423</v>
      </c>
    </row>
    <row r="26" spans="2:15" x14ac:dyDescent="0.4">
      <c r="D26" s="23"/>
    </row>
    <row r="27" spans="2:15" x14ac:dyDescent="0.4">
      <c r="D27" s="23"/>
    </row>
    <row r="28" spans="2:15" x14ac:dyDescent="0.4">
      <c r="D28" s="23"/>
    </row>
    <row r="29" spans="2:15" x14ac:dyDescent="0.4">
      <c r="D29" s="23"/>
    </row>
    <row r="30" spans="2:15" x14ac:dyDescent="0.4">
      <c r="D30" s="23"/>
    </row>
    <row r="31" spans="2:15" x14ac:dyDescent="0.4">
      <c r="D31" s="23"/>
    </row>
    <row r="32" spans="2:15" x14ac:dyDescent="0.4">
      <c r="D32" s="23"/>
    </row>
    <row r="33" spans="4:4" x14ac:dyDescent="0.4">
      <c r="D33" s="23"/>
    </row>
    <row r="34" spans="4:4" x14ac:dyDescent="0.4">
      <c r="D34" s="23"/>
    </row>
    <row r="35" spans="4:4" x14ac:dyDescent="0.4">
      <c r="D35" s="23"/>
    </row>
    <row r="36" spans="4:4" x14ac:dyDescent="0.4">
      <c r="D36" s="23"/>
    </row>
    <row r="37" spans="4:4" x14ac:dyDescent="0.4">
      <c r="D37" s="23"/>
    </row>
    <row r="38" spans="4:4" x14ac:dyDescent="0.4">
      <c r="D38" s="23"/>
    </row>
    <row r="39" spans="4:4" x14ac:dyDescent="0.4">
      <c r="D39" s="23"/>
    </row>
    <row r="40" spans="4:4" x14ac:dyDescent="0.4">
      <c r="D40" s="23"/>
    </row>
    <row r="41" spans="4:4" x14ac:dyDescent="0.4">
      <c r="D41" s="23"/>
    </row>
    <row r="42" spans="4:4" x14ac:dyDescent="0.4">
      <c r="D42" s="23"/>
    </row>
    <row r="43" spans="4:4" x14ac:dyDescent="0.4">
      <c r="D43" s="23"/>
    </row>
    <row r="44" spans="4:4" x14ac:dyDescent="0.4">
      <c r="D44" s="23"/>
    </row>
    <row r="45" spans="4:4" x14ac:dyDescent="0.4">
      <c r="D45" s="23"/>
    </row>
    <row r="46" spans="4:4" x14ac:dyDescent="0.4">
      <c r="D46" s="23"/>
    </row>
    <row r="47" spans="4:4" x14ac:dyDescent="0.4">
      <c r="D47" s="23"/>
    </row>
    <row r="48" spans="4:4" x14ac:dyDescent="0.4">
      <c r="D48" s="23"/>
    </row>
    <row r="49" spans="4:4" x14ac:dyDescent="0.4">
      <c r="D49" s="23"/>
    </row>
    <row r="50" spans="4:4" x14ac:dyDescent="0.4">
      <c r="D50" s="23"/>
    </row>
    <row r="51" spans="4:4" x14ac:dyDescent="0.4">
      <c r="D51" s="23"/>
    </row>
    <row r="52" spans="4:4" x14ac:dyDescent="0.4">
      <c r="D52" s="23"/>
    </row>
    <row r="53" spans="4:4" x14ac:dyDescent="0.4">
      <c r="D53" s="23"/>
    </row>
    <row r="54" spans="4:4" x14ac:dyDescent="0.4">
      <c r="D54" s="23"/>
    </row>
    <row r="55" spans="4:4" x14ac:dyDescent="0.4">
      <c r="D55" s="23"/>
    </row>
    <row r="56" spans="4:4" x14ac:dyDescent="0.4">
      <c r="D56" s="23"/>
    </row>
    <row r="57" spans="4:4" x14ac:dyDescent="0.4">
      <c r="D57" s="23"/>
    </row>
    <row r="58" spans="4:4" x14ac:dyDescent="0.4">
      <c r="D58" s="23"/>
    </row>
    <row r="59" spans="4:4" x14ac:dyDescent="0.4">
      <c r="D59" s="23"/>
    </row>
    <row r="60" spans="4:4" x14ac:dyDescent="0.4">
      <c r="D60" s="23"/>
    </row>
    <row r="61" spans="4:4" x14ac:dyDescent="0.4">
      <c r="D61" s="23"/>
    </row>
    <row r="62" spans="4:4" x14ac:dyDescent="0.4">
      <c r="D62" s="23"/>
    </row>
    <row r="63" spans="4:4" x14ac:dyDescent="0.4">
      <c r="D63" s="23"/>
    </row>
    <row r="64" spans="4:4" x14ac:dyDescent="0.4">
      <c r="D64" s="23"/>
    </row>
    <row r="65" spans="4:4" x14ac:dyDescent="0.4">
      <c r="D65" s="23"/>
    </row>
    <row r="66" spans="4:4" x14ac:dyDescent="0.4">
      <c r="D66" s="23"/>
    </row>
    <row r="67" spans="4:4" x14ac:dyDescent="0.4">
      <c r="D67" s="23"/>
    </row>
    <row r="68" spans="4:4" x14ac:dyDescent="0.4">
      <c r="D68" s="23"/>
    </row>
    <row r="69" spans="4:4" x14ac:dyDescent="0.4">
      <c r="D69" s="23"/>
    </row>
    <row r="70" spans="4:4" x14ac:dyDescent="0.4">
      <c r="D70" s="23"/>
    </row>
    <row r="71" spans="4:4" x14ac:dyDescent="0.4">
      <c r="D71" s="23"/>
    </row>
    <row r="72" spans="4:4" x14ac:dyDescent="0.4">
      <c r="D72" s="23"/>
    </row>
    <row r="73" spans="4:4" x14ac:dyDescent="0.4">
      <c r="D73" s="23"/>
    </row>
    <row r="74" spans="4:4" x14ac:dyDescent="0.4">
      <c r="D74" s="23"/>
    </row>
    <row r="75" spans="4:4" x14ac:dyDescent="0.4">
      <c r="D75" s="23"/>
    </row>
    <row r="76" spans="4:4" x14ac:dyDescent="0.4">
      <c r="D76" s="23"/>
    </row>
    <row r="77" spans="4:4" x14ac:dyDescent="0.4">
      <c r="D77" s="23"/>
    </row>
    <row r="78" spans="4:4" x14ac:dyDescent="0.4">
      <c r="D78" s="23"/>
    </row>
    <row r="79" spans="4:4" x14ac:dyDescent="0.4">
      <c r="D79" s="23"/>
    </row>
    <row r="80" spans="4:4" x14ac:dyDescent="0.4">
      <c r="D80" s="23"/>
    </row>
    <row r="81" spans="4:4" x14ac:dyDescent="0.4">
      <c r="D81" s="23"/>
    </row>
    <row r="82" spans="4:4" x14ac:dyDescent="0.4">
      <c r="D82" s="23"/>
    </row>
    <row r="83" spans="4:4" x14ac:dyDescent="0.4">
      <c r="D83" s="23"/>
    </row>
    <row r="84" spans="4:4" x14ac:dyDescent="0.4">
      <c r="D84" s="23"/>
    </row>
    <row r="85" spans="4:4" x14ac:dyDescent="0.4">
      <c r="D85" s="23"/>
    </row>
    <row r="86" spans="4:4" x14ac:dyDescent="0.4">
      <c r="D86" s="23"/>
    </row>
    <row r="87" spans="4:4" x14ac:dyDescent="0.4">
      <c r="D87" s="23"/>
    </row>
    <row r="88" spans="4:4" x14ac:dyDescent="0.4">
      <c r="D88" s="23"/>
    </row>
    <row r="89" spans="4:4" x14ac:dyDescent="0.4">
      <c r="D89" s="23"/>
    </row>
    <row r="90" spans="4:4" x14ac:dyDescent="0.4">
      <c r="D90" s="23"/>
    </row>
    <row r="91" spans="4:4" x14ac:dyDescent="0.4">
      <c r="D91" s="23"/>
    </row>
    <row r="92" spans="4:4" x14ac:dyDescent="0.4">
      <c r="D92" s="23"/>
    </row>
    <row r="93" spans="4:4" x14ac:dyDescent="0.4">
      <c r="D93" s="23"/>
    </row>
    <row r="94" spans="4:4" x14ac:dyDescent="0.4">
      <c r="D94" s="23"/>
    </row>
    <row r="95" spans="4:4" x14ac:dyDescent="0.4">
      <c r="D95" s="23"/>
    </row>
    <row r="96" spans="4:4" x14ac:dyDescent="0.4">
      <c r="D96" s="23"/>
    </row>
    <row r="97" spans="4:4" x14ac:dyDescent="0.4">
      <c r="D97" s="23"/>
    </row>
    <row r="98" spans="4:4" x14ac:dyDescent="0.4">
      <c r="D98" s="23"/>
    </row>
    <row r="99" spans="4:4" x14ac:dyDescent="0.4">
      <c r="D99" s="23"/>
    </row>
    <row r="100" spans="4:4" x14ac:dyDescent="0.4">
      <c r="D100" s="23"/>
    </row>
    <row r="101" spans="4:4" x14ac:dyDescent="0.4">
      <c r="D101" s="23"/>
    </row>
    <row r="102" spans="4:4" x14ac:dyDescent="0.4">
      <c r="D102" s="23"/>
    </row>
    <row r="103" spans="4:4" x14ac:dyDescent="0.4">
      <c r="D103" s="23"/>
    </row>
    <row r="104" spans="4:4" x14ac:dyDescent="0.4">
      <c r="D104" s="23"/>
    </row>
    <row r="105" spans="4:4" x14ac:dyDescent="0.4">
      <c r="D105" s="23"/>
    </row>
    <row r="106" spans="4:4" x14ac:dyDescent="0.4">
      <c r="D106" s="23"/>
    </row>
    <row r="107" spans="4:4" x14ac:dyDescent="0.4">
      <c r="D107" s="23"/>
    </row>
    <row r="108" spans="4:4" x14ac:dyDescent="0.4">
      <c r="D108" s="23"/>
    </row>
    <row r="109" spans="4:4" x14ac:dyDescent="0.4">
      <c r="D109" s="23"/>
    </row>
    <row r="110" spans="4:4" x14ac:dyDescent="0.4">
      <c r="D110" s="23"/>
    </row>
    <row r="111" spans="4:4" x14ac:dyDescent="0.4">
      <c r="D111" s="23"/>
    </row>
    <row r="112" spans="4:4" x14ac:dyDescent="0.4">
      <c r="D112" s="23"/>
    </row>
    <row r="113" spans="4:4" x14ac:dyDescent="0.4">
      <c r="D113" s="23"/>
    </row>
    <row r="114" spans="4:4" x14ac:dyDescent="0.4">
      <c r="D114" s="23"/>
    </row>
    <row r="115" spans="4:4" x14ac:dyDescent="0.4">
      <c r="D115" s="23"/>
    </row>
    <row r="116" spans="4:4" x14ac:dyDescent="0.4">
      <c r="D116" s="23"/>
    </row>
    <row r="117" spans="4:4" x14ac:dyDescent="0.4">
      <c r="D117" s="23"/>
    </row>
    <row r="118" spans="4:4" x14ac:dyDescent="0.4">
      <c r="D118" s="23"/>
    </row>
    <row r="119" spans="4:4" x14ac:dyDescent="0.4">
      <c r="D119" s="23"/>
    </row>
    <row r="120" spans="4:4" x14ac:dyDescent="0.4">
      <c r="D120" s="23"/>
    </row>
    <row r="121" spans="4:4" x14ac:dyDescent="0.4">
      <c r="D121" s="23"/>
    </row>
    <row r="122" spans="4:4" x14ac:dyDescent="0.4">
      <c r="D122" s="23"/>
    </row>
    <row r="123" spans="4:4" x14ac:dyDescent="0.4">
      <c r="D123" s="23"/>
    </row>
    <row r="124" spans="4:4" x14ac:dyDescent="0.4">
      <c r="D124" s="23"/>
    </row>
    <row r="125" spans="4:4" x14ac:dyDescent="0.4">
      <c r="D125" s="23"/>
    </row>
    <row r="126" spans="4:4" x14ac:dyDescent="0.4">
      <c r="D126" s="23"/>
    </row>
    <row r="127" spans="4:4" x14ac:dyDescent="0.4">
      <c r="D127" s="23"/>
    </row>
    <row r="128" spans="4:4" x14ac:dyDescent="0.4">
      <c r="D128" s="23"/>
    </row>
    <row r="129" spans="4:4" x14ac:dyDescent="0.4">
      <c r="D129" s="23"/>
    </row>
    <row r="130" spans="4:4" x14ac:dyDescent="0.4">
      <c r="D130" s="23"/>
    </row>
    <row r="131" spans="4:4" x14ac:dyDescent="0.4">
      <c r="D131" s="23"/>
    </row>
    <row r="132" spans="4:4" x14ac:dyDescent="0.4">
      <c r="D132" s="23"/>
    </row>
    <row r="133" spans="4:4" x14ac:dyDescent="0.4">
      <c r="D133" s="23"/>
    </row>
    <row r="134" spans="4:4" x14ac:dyDescent="0.4">
      <c r="D134" s="23"/>
    </row>
    <row r="135" spans="4:4" x14ac:dyDescent="0.4">
      <c r="D135" s="23"/>
    </row>
    <row r="136" spans="4:4" x14ac:dyDescent="0.4">
      <c r="D136" s="23"/>
    </row>
    <row r="137" spans="4:4" x14ac:dyDescent="0.4">
      <c r="D137" s="23"/>
    </row>
    <row r="138" spans="4:4" x14ac:dyDescent="0.4">
      <c r="D138" s="23"/>
    </row>
    <row r="139" spans="4:4" x14ac:dyDescent="0.4">
      <c r="D139" s="23"/>
    </row>
    <row r="140" spans="4:4" x14ac:dyDescent="0.4">
      <c r="D140" s="23"/>
    </row>
    <row r="141" spans="4:4" x14ac:dyDescent="0.4">
      <c r="D141" s="23"/>
    </row>
    <row r="142" spans="4:4" x14ac:dyDescent="0.4">
      <c r="D142" s="23"/>
    </row>
    <row r="143" spans="4:4" x14ac:dyDescent="0.4">
      <c r="D143" s="23"/>
    </row>
    <row r="144" spans="4:4" x14ac:dyDescent="0.4">
      <c r="D144" s="23"/>
    </row>
    <row r="145" spans="4:4" x14ac:dyDescent="0.4">
      <c r="D145" s="23"/>
    </row>
    <row r="146" spans="4:4" x14ac:dyDescent="0.4">
      <c r="D146" s="23"/>
    </row>
    <row r="147" spans="4:4" x14ac:dyDescent="0.4">
      <c r="D147" s="23"/>
    </row>
    <row r="148" spans="4:4" x14ac:dyDescent="0.4">
      <c r="D148" s="23"/>
    </row>
    <row r="149" spans="4:4" x14ac:dyDescent="0.4">
      <c r="D149" s="23"/>
    </row>
    <row r="150" spans="4:4" x14ac:dyDescent="0.4">
      <c r="D150" s="23"/>
    </row>
    <row r="151" spans="4:4" x14ac:dyDescent="0.4">
      <c r="D151" s="23"/>
    </row>
    <row r="152" spans="4:4" x14ac:dyDescent="0.4">
      <c r="D152" s="23"/>
    </row>
    <row r="153" spans="4:4" x14ac:dyDescent="0.4">
      <c r="D153" s="23"/>
    </row>
    <row r="154" spans="4:4" x14ac:dyDescent="0.4">
      <c r="D154" s="23"/>
    </row>
    <row r="155" spans="4:4" x14ac:dyDescent="0.4">
      <c r="D155" s="23"/>
    </row>
    <row r="156" spans="4:4" x14ac:dyDescent="0.4">
      <c r="D156" s="23"/>
    </row>
    <row r="157" spans="4:4" x14ac:dyDescent="0.4">
      <c r="D157" s="23"/>
    </row>
    <row r="158" spans="4:4" x14ac:dyDescent="0.4">
      <c r="D158" s="23"/>
    </row>
    <row r="159" spans="4:4" x14ac:dyDescent="0.4">
      <c r="D159" s="23"/>
    </row>
    <row r="160" spans="4:4" x14ac:dyDescent="0.4">
      <c r="D160" s="23"/>
    </row>
    <row r="161" spans="4:4" x14ac:dyDescent="0.4">
      <c r="D161" s="23"/>
    </row>
    <row r="162" spans="4:4" x14ac:dyDescent="0.4">
      <c r="D162" s="23"/>
    </row>
    <row r="163" spans="4:4" x14ac:dyDescent="0.4">
      <c r="D163" s="23"/>
    </row>
    <row r="164" spans="4:4" x14ac:dyDescent="0.4">
      <c r="D164" s="23"/>
    </row>
    <row r="165" spans="4:4" x14ac:dyDescent="0.4">
      <c r="D165" s="23"/>
    </row>
    <row r="166" spans="4:4" x14ac:dyDescent="0.4">
      <c r="D166" s="23"/>
    </row>
    <row r="167" spans="4:4" x14ac:dyDescent="0.4">
      <c r="D167" s="23"/>
    </row>
    <row r="168" spans="4:4" x14ac:dyDescent="0.4">
      <c r="D168" s="23"/>
    </row>
    <row r="169" spans="4:4" x14ac:dyDescent="0.4">
      <c r="D169" s="23"/>
    </row>
    <row r="170" spans="4:4" x14ac:dyDescent="0.4">
      <c r="D170" s="23"/>
    </row>
    <row r="171" spans="4:4" x14ac:dyDescent="0.4">
      <c r="D171" s="23"/>
    </row>
    <row r="172" spans="4:4" x14ac:dyDescent="0.4">
      <c r="D172" s="23"/>
    </row>
    <row r="173" spans="4:4" x14ac:dyDescent="0.4">
      <c r="D173" s="23"/>
    </row>
    <row r="174" spans="4:4" x14ac:dyDescent="0.4">
      <c r="D174" s="23"/>
    </row>
    <row r="175" spans="4:4" x14ac:dyDescent="0.4">
      <c r="D175" s="23"/>
    </row>
    <row r="176" spans="4:4" x14ac:dyDescent="0.4">
      <c r="D176" s="23"/>
    </row>
    <row r="177" spans="4:4" x14ac:dyDescent="0.4">
      <c r="D177" s="23"/>
    </row>
    <row r="178" spans="4:4" x14ac:dyDescent="0.4">
      <c r="D178" s="23"/>
    </row>
    <row r="179" spans="4:4" x14ac:dyDescent="0.4">
      <c r="D179" s="23"/>
    </row>
    <row r="180" spans="4:4" x14ac:dyDescent="0.4">
      <c r="D180" s="23"/>
    </row>
    <row r="181" spans="4:4" x14ac:dyDescent="0.4">
      <c r="D181" s="23"/>
    </row>
    <row r="182" spans="4:4" x14ac:dyDescent="0.4">
      <c r="D182" s="23"/>
    </row>
    <row r="183" spans="4:4" x14ac:dyDescent="0.4">
      <c r="D183" s="23"/>
    </row>
    <row r="184" spans="4:4" x14ac:dyDescent="0.4">
      <c r="D184" s="23"/>
    </row>
    <row r="185" spans="4:4" x14ac:dyDescent="0.4">
      <c r="D185" s="23"/>
    </row>
    <row r="186" spans="4:4" x14ac:dyDescent="0.4">
      <c r="D186" s="23"/>
    </row>
    <row r="187" spans="4:4" x14ac:dyDescent="0.4">
      <c r="D187" s="23"/>
    </row>
    <row r="188" spans="4:4" x14ac:dyDescent="0.4">
      <c r="D188" s="23"/>
    </row>
    <row r="189" spans="4:4" x14ac:dyDescent="0.4">
      <c r="D189" s="23"/>
    </row>
    <row r="190" spans="4:4" x14ac:dyDescent="0.4">
      <c r="D190" s="23"/>
    </row>
    <row r="191" spans="4:4" x14ac:dyDescent="0.4">
      <c r="D191" s="23"/>
    </row>
    <row r="192" spans="4:4" x14ac:dyDescent="0.4">
      <c r="D192" s="23"/>
    </row>
    <row r="193" spans="4:4" x14ac:dyDescent="0.4">
      <c r="D193" s="23"/>
    </row>
    <row r="194" spans="4:4" x14ac:dyDescent="0.4">
      <c r="D194" s="23"/>
    </row>
    <row r="195" spans="4:4" x14ac:dyDescent="0.4">
      <c r="D195" s="23"/>
    </row>
    <row r="196" spans="4:4" x14ac:dyDescent="0.4">
      <c r="D196" s="23"/>
    </row>
    <row r="197" spans="4:4" x14ac:dyDescent="0.4">
      <c r="D197" s="23"/>
    </row>
    <row r="198" spans="4:4" x14ac:dyDescent="0.4">
      <c r="D198" s="23"/>
    </row>
    <row r="199" spans="4:4" x14ac:dyDescent="0.4">
      <c r="D199" s="23"/>
    </row>
    <row r="200" spans="4:4" x14ac:dyDescent="0.4">
      <c r="D200" s="23"/>
    </row>
    <row r="201" spans="4:4" x14ac:dyDescent="0.4">
      <c r="D201" s="23"/>
    </row>
    <row r="202" spans="4:4" x14ac:dyDescent="0.4">
      <c r="D202" s="23"/>
    </row>
    <row r="203" spans="4:4" x14ac:dyDescent="0.4">
      <c r="D203" s="23"/>
    </row>
    <row r="204" spans="4:4" x14ac:dyDescent="0.4">
      <c r="D204" s="23"/>
    </row>
    <row r="205" spans="4:4" x14ac:dyDescent="0.4">
      <c r="D205" s="23"/>
    </row>
    <row r="206" spans="4:4" x14ac:dyDescent="0.4">
      <c r="D206" s="23"/>
    </row>
    <row r="207" spans="4:4" x14ac:dyDescent="0.4">
      <c r="D207" s="23"/>
    </row>
    <row r="208" spans="4:4" x14ac:dyDescent="0.4">
      <c r="D208" s="23"/>
    </row>
    <row r="209" spans="4:4" x14ac:dyDescent="0.4">
      <c r="D209" s="23"/>
    </row>
    <row r="210" spans="4:4" x14ac:dyDescent="0.4">
      <c r="D210" s="23"/>
    </row>
    <row r="211" spans="4:4" x14ac:dyDescent="0.4">
      <c r="D211" s="23"/>
    </row>
    <row r="212" spans="4:4" x14ac:dyDescent="0.4">
      <c r="D212" s="23"/>
    </row>
    <row r="213" spans="4:4" x14ac:dyDescent="0.4">
      <c r="D213" s="23"/>
    </row>
    <row r="214" spans="4:4" x14ac:dyDescent="0.4">
      <c r="D214" s="23"/>
    </row>
    <row r="215" spans="4:4" x14ac:dyDescent="0.4">
      <c r="D215" s="23"/>
    </row>
    <row r="216" spans="4:4" x14ac:dyDescent="0.4">
      <c r="D216" s="2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arguments</vt:lpstr>
      <vt:lpstr>variables</vt:lpstr>
      <vt:lpstr>variables_bk</vt:lpstr>
      <vt:lpstr>runner</vt:lpstr>
      <vt:lpstr>endpoint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cp:lastModifiedBy>default</cp:lastModifiedBy>
  <dcterms:created xsi:type="dcterms:W3CDTF">2022-05-16T14:20:50Z</dcterms:created>
  <dcterms:modified xsi:type="dcterms:W3CDTF">2023-03-16T14:57:57Z</dcterms:modified>
</cp:coreProperties>
</file>